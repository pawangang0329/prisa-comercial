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30EB2B6-A8F4-464A-A725-FEA850596A81}" xr6:coauthVersionLast="47" xr6:coauthVersionMax="47" xr10:uidLastSave="{00000000-0000-0000-0000-000000000000}"/>
  <bookViews>
    <workbookView xWindow="-120" yWindow="-120" windowWidth="20730" windowHeight="11040" xr2:uid="{D6C8E2DF-AEB4-4026-B39D-756FAF088DBE}"/>
  </bookViews>
  <sheets>
    <sheet name="Tarifas 2026" sheetId="5" r:id="rId1"/>
    <sheet name="Métricas" sheetId="6" r:id="rId2"/>
    <sheet name="Video Corto" sheetId="8" state="hidden" r:id="rId3"/>
    <sheet name="Video Programa (Secciones)" sheetId="7" state="hidden" r:id="rId4"/>
    <sheet name="Video Franquicia" sheetId="12" state="hidden" r:id="rId5"/>
    <sheet name="Video Remoto (Corto)" sheetId="9" state="hidden" r:id="rId6"/>
    <sheet name="Seccion Prime - BM - Spot" sheetId="11" state="hidden" r:id="rId7"/>
    <sheet name="Contenido Exclusivo" sheetId="15" state="hidden" r:id="rId8"/>
    <sheet name="Microprograma" sheetId="16" state="hidden" r:id="rId9"/>
    <sheet name="Video Cubrimiento" sheetId="13" state="hidden" r:id="rId10"/>
    <sheet name="Registro Fotográfico" sheetId="14" state="hidden" r:id="rId11"/>
    <sheet name="Radio Caracol" sheetId="10" state="hidden" r:id="rId12"/>
    <sheet name="Tarifas Miranda" sheetId="17" state="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4" i="5" l="1"/>
  <c r="K90" i="12"/>
  <c r="I90" i="12"/>
  <c r="H93" i="12"/>
  <c r="I93" i="12" s="1"/>
  <c r="K93" i="12" s="1"/>
  <c r="H92" i="12"/>
  <c r="I92" i="12" s="1"/>
  <c r="K92" i="12" s="1"/>
  <c r="H91" i="12"/>
  <c r="I91" i="12" s="1"/>
  <c r="K91" i="12" s="1"/>
  <c r="H89" i="12"/>
  <c r="I89" i="12" s="1"/>
  <c r="E89" i="12"/>
  <c r="I94" i="12" l="1"/>
  <c r="K89" i="12"/>
  <c r="K94" i="12" s="1"/>
  <c r="J105" i="12" l="1"/>
  <c r="K124" i="5"/>
  <c r="K143" i="5"/>
  <c r="K131" i="5"/>
  <c r="K137" i="5"/>
  <c r="I86" i="5"/>
  <c r="J57" i="5"/>
  <c r="I57" i="5"/>
  <c r="H57" i="5"/>
  <c r="G57" i="5"/>
  <c r="J56" i="5"/>
  <c r="I56" i="5"/>
  <c r="H56" i="5"/>
  <c r="G56" i="5"/>
  <c r="J33" i="5"/>
  <c r="I33" i="5"/>
  <c r="H33" i="5"/>
  <c r="G33" i="5"/>
  <c r="L84" i="7"/>
  <c r="K84" i="7"/>
  <c r="I84" i="7"/>
  <c r="L83" i="7"/>
  <c r="I83" i="7"/>
  <c r="I85" i="7" s="1"/>
  <c r="L82" i="7"/>
  <c r="K82" i="7"/>
  <c r="I82" i="7"/>
  <c r="L81" i="7"/>
  <c r="I81" i="7"/>
  <c r="K81" i="7" s="1"/>
  <c r="M80" i="7"/>
  <c r="K80" i="7"/>
  <c r="I80" i="7"/>
  <c r="L75" i="7"/>
  <c r="I75" i="7"/>
  <c r="K75" i="7" s="1"/>
  <c r="L74" i="7"/>
  <c r="K74" i="7"/>
  <c r="I74" i="7"/>
  <c r="L73" i="7"/>
  <c r="I73" i="7"/>
  <c r="K73" i="7" s="1"/>
  <c r="M72" i="7"/>
  <c r="I72" i="7"/>
  <c r="I76" i="7" s="1"/>
  <c r="L61" i="8"/>
  <c r="I61" i="8"/>
  <c r="L60" i="8"/>
  <c r="I60" i="8"/>
  <c r="K60" i="8" s="1"/>
  <c r="L55" i="8"/>
  <c r="K55" i="8"/>
  <c r="I55" i="8"/>
  <c r="L54" i="8"/>
  <c r="I54" i="8"/>
  <c r="K54" i="8" s="1"/>
  <c r="L53" i="8"/>
  <c r="I53" i="8"/>
  <c r="I56" i="8" s="1"/>
  <c r="H135" i="12"/>
  <c r="I135" i="12" s="1"/>
  <c r="K135" i="12" s="1"/>
  <c r="H134" i="12"/>
  <c r="I134" i="12" s="1"/>
  <c r="K134" i="12" s="1"/>
  <c r="H133" i="12"/>
  <c r="I133" i="12" s="1"/>
  <c r="K133" i="12" s="1"/>
  <c r="H132" i="12"/>
  <c r="E132" i="12"/>
  <c r="J31" i="14"/>
  <c r="L31" i="14" s="1"/>
  <c r="I31" i="14"/>
  <c r="I30" i="14"/>
  <c r="J30" i="14" s="1"/>
  <c r="L30" i="14" s="1"/>
  <c r="I29" i="14"/>
  <c r="J29" i="14" s="1"/>
  <c r="J32" i="13"/>
  <c r="L32" i="13" s="1"/>
  <c r="I32" i="13"/>
  <c r="I31" i="13"/>
  <c r="J31" i="13" s="1"/>
  <c r="L31" i="13" s="1"/>
  <c r="I30" i="13"/>
  <c r="J30" i="13" s="1"/>
  <c r="L189" i="7"/>
  <c r="I189" i="7"/>
  <c r="K189" i="7" s="1"/>
  <c r="L188" i="7"/>
  <c r="I188" i="7"/>
  <c r="K188" i="7" s="1"/>
  <c r="L187" i="7"/>
  <c r="K187" i="7"/>
  <c r="I187" i="7"/>
  <c r="L186" i="7"/>
  <c r="I186" i="7"/>
  <c r="K186" i="7" s="1"/>
  <c r="M185" i="7"/>
  <c r="K185" i="7"/>
  <c r="I185" i="7"/>
  <c r="L180" i="7"/>
  <c r="I180" i="7"/>
  <c r="K180" i="7" s="1"/>
  <c r="L179" i="7"/>
  <c r="K179" i="7"/>
  <c r="I179" i="7"/>
  <c r="L178" i="7"/>
  <c r="I178" i="7"/>
  <c r="K178" i="7" s="1"/>
  <c r="M177" i="7"/>
  <c r="I177" i="7"/>
  <c r="I181" i="7" s="1"/>
  <c r="L133" i="8"/>
  <c r="I133" i="8"/>
  <c r="K133" i="8" s="1"/>
  <c r="L132" i="8"/>
  <c r="I132" i="8"/>
  <c r="K132" i="8" s="1"/>
  <c r="L126" i="8"/>
  <c r="I126" i="8"/>
  <c r="K126" i="8" s="1"/>
  <c r="L125" i="8"/>
  <c r="I125" i="8"/>
  <c r="K125" i="8" s="1"/>
  <c r="L124" i="8"/>
  <c r="I124" i="8"/>
  <c r="H184" i="12"/>
  <c r="I184" i="12" s="1"/>
  <c r="K184" i="12" s="1"/>
  <c r="H183" i="12"/>
  <c r="I183" i="12" s="1"/>
  <c r="K183" i="12" s="1"/>
  <c r="H182" i="12"/>
  <c r="I182" i="12" s="1"/>
  <c r="K182" i="12" s="1"/>
  <c r="H181" i="12"/>
  <c r="I181" i="12" s="1"/>
  <c r="K181" i="12" s="1"/>
  <c r="H180" i="12"/>
  <c r="E180" i="12"/>
  <c r="I23" i="14"/>
  <c r="J23" i="14" s="1"/>
  <c r="L23" i="14" s="1"/>
  <c r="J22" i="14"/>
  <c r="L22" i="14" s="1"/>
  <c r="I22" i="14"/>
  <c r="I21" i="14"/>
  <c r="J21" i="14" s="1"/>
  <c r="I24" i="13"/>
  <c r="J24" i="13" s="1"/>
  <c r="L24" i="13" s="1"/>
  <c r="J23" i="13"/>
  <c r="L23" i="13" s="1"/>
  <c r="I23" i="13"/>
  <c r="I22" i="13"/>
  <c r="J22" i="13" s="1"/>
  <c r="L136" i="7"/>
  <c r="I136" i="7"/>
  <c r="K136" i="7" s="1"/>
  <c r="L135" i="7"/>
  <c r="I135" i="7"/>
  <c r="K135" i="7" s="1"/>
  <c r="L134" i="7"/>
  <c r="I134" i="7"/>
  <c r="K134" i="7" s="1"/>
  <c r="L133" i="7"/>
  <c r="I133" i="7"/>
  <c r="K133" i="7" s="1"/>
  <c r="M132" i="7"/>
  <c r="I132" i="7"/>
  <c r="K132" i="7" s="1"/>
  <c r="L127" i="7"/>
  <c r="I127" i="7"/>
  <c r="K127" i="7" s="1"/>
  <c r="L126" i="7"/>
  <c r="I126" i="7"/>
  <c r="K126" i="7" s="1"/>
  <c r="L125" i="7"/>
  <c r="I125" i="7"/>
  <c r="K125" i="7" s="1"/>
  <c r="M124" i="7"/>
  <c r="I124" i="7" s="1"/>
  <c r="L97" i="8"/>
  <c r="I97" i="8"/>
  <c r="K97" i="8" s="1"/>
  <c r="L96" i="8"/>
  <c r="I96" i="8"/>
  <c r="K96" i="8" s="1"/>
  <c r="L90" i="8"/>
  <c r="I90" i="8"/>
  <c r="K90" i="8" s="1"/>
  <c r="L89" i="8"/>
  <c r="I89" i="8"/>
  <c r="K89" i="8" s="1"/>
  <c r="L88" i="8"/>
  <c r="I88" i="8" s="1"/>
  <c r="H63" i="12"/>
  <c r="I63" i="12" s="1"/>
  <c r="K63" i="12" s="1"/>
  <c r="H62" i="12"/>
  <c r="I62" i="12" s="1"/>
  <c r="K62" i="12" s="1"/>
  <c r="H61" i="12"/>
  <c r="I61" i="12" s="1"/>
  <c r="K61" i="12" s="1"/>
  <c r="H60" i="12"/>
  <c r="I60" i="12" s="1"/>
  <c r="K60" i="12" s="1"/>
  <c r="H59" i="12"/>
  <c r="I59" i="12" s="1"/>
  <c r="K59" i="12" s="1"/>
  <c r="H58" i="12"/>
  <c r="I58" i="12" s="1"/>
  <c r="H53" i="12"/>
  <c r="I53" i="12" s="1"/>
  <c r="K53" i="12" s="1"/>
  <c r="H52" i="12"/>
  <c r="I52" i="12" s="1"/>
  <c r="K52" i="12" s="1"/>
  <c r="H51" i="12"/>
  <c r="I51" i="12" s="1"/>
  <c r="K51" i="12" s="1"/>
  <c r="H50" i="12"/>
  <c r="I50" i="12" s="1"/>
  <c r="K50" i="12" s="1"/>
  <c r="H49" i="12"/>
  <c r="I49" i="12" s="1"/>
  <c r="K49" i="12" s="1"/>
  <c r="H48" i="12"/>
  <c r="I48" i="12" s="1"/>
  <c r="I15" i="14"/>
  <c r="J15" i="14" s="1"/>
  <c r="L15" i="14" s="1"/>
  <c r="I14" i="14"/>
  <c r="J14" i="14" s="1"/>
  <c r="L14" i="14" s="1"/>
  <c r="I13" i="14"/>
  <c r="J13" i="14" s="1"/>
  <c r="I6" i="14"/>
  <c r="J6" i="14" s="1"/>
  <c r="L6" i="14" s="1"/>
  <c r="I5" i="14"/>
  <c r="J5" i="14" s="1"/>
  <c r="L5" i="14" s="1"/>
  <c r="I4" i="14"/>
  <c r="J4" i="14" s="1"/>
  <c r="I15" i="13"/>
  <c r="J15" i="13" s="1"/>
  <c r="L15" i="13" s="1"/>
  <c r="I14" i="13"/>
  <c r="J14" i="13" s="1"/>
  <c r="L14" i="13" s="1"/>
  <c r="I13" i="13"/>
  <c r="J13" i="13" s="1"/>
  <c r="I6" i="13"/>
  <c r="J6" i="13" s="1"/>
  <c r="L6" i="13" s="1"/>
  <c r="I5" i="13"/>
  <c r="J5" i="13" s="1"/>
  <c r="L5" i="13" s="1"/>
  <c r="I4" i="13"/>
  <c r="J4" i="13" s="1"/>
  <c r="L4" i="13" s="1"/>
  <c r="H217" i="12"/>
  <c r="I217" i="12" s="1"/>
  <c r="K217" i="12" s="1"/>
  <c r="H216" i="12"/>
  <c r="I216" i="12" s="1"/>
  <c r="K216" i="12" s="1"/>
  <c r="H215" i="12"/>
  <c r="I215" i="12" s="1"/>
  <c r="K215" i="12" s="1"/>
  <c r="G21" i="11"/>
  <c r="I21" i="11" s="1"/>
  <c r="F21" i="11"/>
  <c r="C52" i="5"/>
  <c r="E105" i="9"/>
  <c r="I105" i="9" s="1"/>
  <c r="K105" i="9" s="1"/>
  <c r="I104" i="9"/>
  <c r="K104" i="9" s="1"/>
  <c r="K106" i="9" s="1"/>
  <c r="C51" i="5"/>
  <c r="E98" i="9"/>
  <c r="I98" i="9" s="1"/>
  <c r="K98" i="9" s="1"/>
  <c r="I97" i="9"/>
  <c r="K97" i="9" s="1"/>
  <c r="I91" i="9"/>
  <c r="K91" i="9" s="1"/>
  <c r="I90" i="9"/>
  <c r="K90" i="9" s="1"/>
  <c r="L271" i="7"/>
  <c r="H271" i="7"/>
  <c r="I271" i="7" s="1"/>
  <c r="K271" i="7" s="1"/>
  <c r="L270" i="7"/>
  <c r="H270" i="7"/>
  <c r="I270" i="7" s="1"/>
  <c r="K270" i="7" s="1"/>
  <c r="L269" i="7"/>
  <c r="H269" i="7"/>
  <c r="I269" i="7" s="1"/>
  <c r="K269" i="7" s="1"/>
  <c r="L268" i="7"/>
  <c r="H268" i="7"/>
  <c r="I268" i="7" s="1"/>
  <c r="M267" i="7"/>
  <c r="H267" i="7"/>
  <c r="I267" i="7" s="1"/>
  <c r="K267" i="7" s="1"/>
  <c r="H261" i="7"/>
  <c r="I261" i="7" s="1"/>
  <c r="H260" i="7"/>
  <c r="I260" i="7" s="1"/>
  <c r="H259" i="7"/>
  <c r="I259" i="7" s="1"/>
  <c r="H258" i="7"/>
  <c r="I258" i="7" s="1"/>
  <c r="H257" i="7"/>
  <c r="I257" i="7" s="1"/>
  <c r="H252" i="7"/>
  <c r="I252" i="7" s="1"/>
  <c r="H251" i="7"/>
  <c r="I251" i="7" s="1"/>
  <c r="H250" i="7"/>
  <c r="I250" i="7" s="1"/>
  <c r="H249" i="7"/>
  <c r="I249" i="7" s="1"/>
  <c r="H248" i="7"/>
  <c r="I248" i="7" s="1"/>
  <c r="L243" i="7"/>
  <c r="H243" i="7"/>
  <c r="I243" i="7" s="1"/>
  <c r="K243" i="7" s="1"/>
  <c r="I132" i="12" l="1"/>
  <c r="I136" i="12" s="1"/>
  <c r="I180" i="12"/>
  <c r="I185" i="12" s="1"/>
  <c r="K85" i="7"/>
  <c r="I190" i="7"/>
  <c r="K83" i="7"/>
  <c r="K190" i="7"/>
  <c r="K72" i="7"/>
  <c r="K76" i="7" s="1"/>
  <c r="K177" i="7"/>
  <c r="K181" i="7" s="1"/>
  <c r="I62" i="8"/>
  <c r="K61" i="8"/>
  <c r="K62" i="8" s="1"/>
  <c r="K53" i="8"/>
  <c r="K56" i="8" s="1"/>
  <c r="I127" i="8"/>
  <c r="K134" i="8"/>
  <c r="L29" i="14"/>
  <c r="L32" i="14" s="1"/>
  <c r="J32" i="14"/>
  <c r="J33" i="13"/>
  <c r="L30" i="13"/>
  <c r="L33" i="13" s="1"/>
  <c r="K124" i="8"/>
  <c r="K127" i="8" s="1"/>
  <c r="I134" i="8"/>
  <c r="L21" i="14"/>
  <c r="L24" i="14" s="1"/>
  <c r="J24" i="14"/>
  <c r="J25" i="13"/>
  <c r="L22" i="13"/>
  <c r="L25" i="13" s="1"/>
  <c r="I137" i="7"/>
  <c r="K137" i="7"/>
  <c r="I128" i="7"/>
  <c r="K124" i="7"/>
  <c r="K128" i="7" s="1"/>
  <c r="K98" i="8"/>
  <c r="I98" i="8"/>
  <c r="I91" i="8"/>
  <c r="K88" i="8"/>
  <c r="K91" i="8" s="1"/>
  <c r="I64" i="12"/>
  <c r="K58" i="12"/>
  <c r="K64" i="12" s="1"/>
  <c r="E72" i="5" s="1"/>
  <c r="K48" i="12"/>
  <c r="K54" i="12" s="1"/>
  <c r="E71" i="5" s="1"/>
  <c r="I54" i="12"/>
  <c r="L4" i="14"/>
  <c r="L7" i="14" s="1"/>
  <c r="J7" i="14"/>
  <c r="J16" i="14"/>
  <c r="L13" i="14"/>
  <c r="L16" i="14" s="1"/>
  <c r="J16" i="13"/>
  <c r="L13" i="13"/>
  <c r="L16" i="13" s="1"/>
  <c r="J7" i="13"/>
  <c r="L7" i="13"/>
  <c r="K218" i="12"/>
  <c r="C95" i="5" s="1"/>
  <c r="I218" i="12"/>
  <c r="I106" i="9"/>
  <c r="K99" i="9"/>
  <c r="I99" i="9"/>
  <c r="K92" i="9"/>
  <c r="C50" i="5" s="1"/>
  <c r="I92" i="9"/>
  <c r="K268" i="7"/>
  <c r="K272" i="7" s="1"/>
  <c r="C41" i="5" s="1"/>
  <c r="I272" i="7"/>
  <c r="K132" i="12" l="1"/>
  <c r="K136" i="12" s="1"/>
  <c r="H77" i="5" s="1"/>
  <c r="K180" i="12"/>
  <c r="K185" i="12" s="1"/>
  <c r="G82" i="5" s="1"/>
  <c r="E242" i="7"/>
  <c r="E241" i="7"/>
  <c r="L261" i="7"/>
  <c r="K261" i="7"/>
  <c r="L260" i="7"/>
  <c r="K260" i="7"/>
  <c r="L259" i="7"/>
  <c r="K259" i="7"/>
  <c r="L258" i="7"/>
  <c r="M257" i="7"/>
  <c r="L252" i="7"/>
  <c r="K252" i="7"/>
  <c r="L251" i="7"/>
  <c r="K251" i="7" s="1"/>
  <c r="L250" i="7"/>
  <c r="K250" i="7"/>
  <c r="L249" i="7"/>
  <c r="K249" i="7"/>
  <c r="M248" i="7"/>
  <c r="L242" i="7"/>
  <c r="H242" i="7"/>
  <c r="L241" i="7"/>
  <c r="H241" i="7"/>
  <c r="L240" i="7"/>
  <c r="H240" i="7"/>
  <c r="M239" i="7"/>
  <c r="H239" i="7"/>
  <c r="I239" i="7" s="1"/>
  <c r="E156" i="8"/>
  <c r="E155" i="8"/>
  <c r="H156" i="8"/>
  <c r="H155" i="8"/>
  <c r="H154" i="8"/>
  <c r="I154" i="8" s="1"/>
  <c r="I240" i="7" l="1"/>
  <c r="K240" i="7" s="1"/>
  <c r="K258" i="7"/>
  <c r="I242" i="7"/>
  <c r="K242" i="7" s="1"/>
  <c r="I241" i="7"/>
  <c r="I253" i="7"/>
  <c r="K248" i="7"/>
  <c r="K253" i="7" s="1"/>
  <c r="C39" i="5" s="1"/>
  <c r="K257" i="7"/>
  <c r="I262" i="7"/>
  <c r="K239" i="7"/>
  <c r="I156" i="8"/>
  <c r="K156" i="8" s="1"/>
  <c r="I155" i="8"/>
  <c r="K155" i="8" s="1"/>
  <c r="K154" i="8"/>
  <c r="H43" i="12"/>
  <c r="I43" i="12" s="1"/>
  <c r="K43" i="12" s="1"/>
  <c r="H42" i="12"/>
  <c r="I42" i="12" s="1"/>
  <c r="K42" i="12" s="1"/>
  <c r="H41" i="12"/>
  <c r="I41" i="12" s="1"/>
  <c r="K41" i="12" s="1"/>
  <c r="H40" i="12"/>
  <c r="I40" i="12" s="1"/>
  <c r="K40" i="12" s="1"/>
  <c r="H39" i="12"/>
  <c r="I39" i="12" s="1"/>
  <c r="K39" i="12" s="1"/>
  <c r="H38" i="12"/>
  <c r="I38" i="12" s="1"/>
  <c r="K38" i="12" s="1"/>
  <c r="H32" i="12"/>
  <c r="I32" i="12" s="1"/>
  <c r="K32" i="12" s="1"/>
  <c r="H31" i="12"/>
  <c r="I31" i="12" s="1"/>
  <c r="K31" i="12" s="1"/>
  <c r="H30" i="12"/>
  <c r="I30" i="12" s="1"/>
  <c r="K30" i="12" s="1"/>
  <c r="H29" i="12"/>
  <c r="I29" i="12" s="1"/>
  <c r="K29" i="12" s="1"/>
  <c r="H28" i="12"/>
  <c r="I28" i="12" s="1"/>
  <c r="K28" i="12" s="1"/>
  <c r="H27" i="12"/>
  <c r="I27" i="12" s="1"/>
  <c r="K27" i="12" s="1"/>
  <c r="H21" i="12"/>
  <c r="I21" i="12" s="1"/>
  <c r="K21" i="12" s="1"/>
  <c r="H20" i="12"/>
  <c r="I20" i="12" s="1"/>
  <c r="K20" i="12" s="1"/>
  <c r="H19" i="12"/>
  <c r="I19" i="12" s="1"/>
  <c r="K19" i="12" s="1"/>
  <c r="H18" i="12"/>
  <c r="I18" i="12" s="1"/>
  <c r="K18" i="12" s="1"/>
  <c r="H17" i="12"/>
  <c r="I17" i="12" s="1"/>
  <c r="K17" i="12" s="1"/>
  <c r="H16" i="12"/>
  <c r="I16" i="12" s="1"/>
  <c r="K16" i="12" s="1"/>
  <c r="K262" i="7" l="1"/>
  <c r="C40" i="5" s="1"/>
  <c r="K241" i="7"/>
  <c r="K244" i="7" s="1"/>
  <c r="C38" i="5" s="1"/>
  <c r="I244" i="7"/>
  <c r="I157" i="8"/>
  <c r="K157" i="8"/>
  <c r="E109" i="5" l="1"/>
  <c r="C109" i="5"/>
  <c r="K109" i="5" s="1"/>
  <c r="H252" i="12" l="1"/>
  <c r="I252" i="12" s="1"/>
  <c r="K252" i="12" s="1"/>
  <c r="H251" i="12"/>
  <c r="I251" i="12" s="1"/>
  <c r="K251" i="12" s="1"/>
  <c r="H250" i="12"/>
  <c r="I250" i="12" s="1"/>
  <c r="H249" i="12"/>
  <c r="I249" i="12" s="1"/>
  <c r="K249" i="12" s="1"/>
  <c r="H243" i="12"/>
  <c r="I243" i="12" s="1"/>
  <c r="K243" i="12" s="1"/>
  <c r="H242" i="12"/>
  <c r="I242" i="12" s="1"/>
  <c r="K242" i="12" s="1"/>
  <c r="H241" i="12"/>
  <c r="I241" i="12" s="1"/>
  <c r="K241" i="12" s="1"/>
  <c r="H240" i="12"/>
  <c r="I240" i="12" s="1"/>
  <c r="H234" i="12"/>
  <c r="I234" i="12" s="1"/>
  <c r="K234" i="12" s="1"/>
  <c r="H233" i="12"/>
  <c r="I233" i="12" s="1"/>
  <c r="K233" i="12" s="1"/>
  <c r="H232" i="12"/>
  <c r="I232" i="12" s="1"/>
  <c r="K232" i="12" s="1"/>
  <c r="H231" i="12"/>
  <c r="I231" i="12" s="1"/>
  <c r="H225" i="12"/>
  <c r="I225" i="12" s="1"/>
  <c r="K225" i="12" s="1"/>
  <c r="H224" i="12"/>
  <c r="I224" i="12" s="1"/>
  <c r="K224" i="12" s="1"/>
  <c r="H223" i="12"/>
  <c r="I223" i="12" s="1"/>
  <c r="K223" i="12" s="1"/>
  <c r="H222" i="12"/>
  <c r="I222" i="12" s="1"/>
  <c r="H209" i="12"/>
  <c r="I209" i="12" s="1"/>
  <c r="K209" i="12" s="1"/>
  <c r="H208" i="12"/>
  <c r="I208" i="12" s="1"/>
  <c r="K208" i="12" s="1"/>
  <c r="H207" i="12"/>
  <c r="I207" i="12" s="1"/>
  <c r="H201" i="12"/>
  <c r="I201" i="12" s="1"/>
  <c r="K201" i="12" s="1"/>
  <c r="H200" i="12"/>
  <c r="I200" i="12" s="1"/>
  <c r="K200" i="12" s="1"/>
  <c r="H199" i="12"/>
  <c r="I199" i="12" s="1"/>
  <c r="K199" i="12" s="1"/>
  <c r="H198" i="12"/>
  <c r="I198" i="12" s="1"/>
  <c r="H192" i="12"/>
  <c r="I192" i="12" s="1"/>
  <c r="K192" i="12" s="1"/>
  <c r="H191" i="12"/>
  <c r="I191" i="12" s="1"/>
  <c r="K191" i="12" s="1"/>
  <c r="H190" i="12"/>
  <c r="I190" i="12" s="1"/>
  <c r="K190" i="12" s="1"/>
  <c r="H174" i="12"/>
  <c r="I174" i="12" s="1"/>
  <c r="K174" i="12" s="1"/>
  <c r="H173" i="12"/>
  <c r="I173" i="12" s="1"/>
  <c r="K173" i="12" s="1"/>
  <c r="H172" i="12"/>
  <c r="I172" i="12" s="1"/>
  <c r="K172" i="12" s="1"/>
  <c r="H171" i="12"/>
  <c r="I171" i="12" s="1"/>
  <c r="K171" i="12" s="1"/>
  <c r="H170" i="12"/>
  <c r="E170" i="12"/>
  <c r="H164" i="12"/>
  <c r="I164" i="12" s="1"/>
  <c r="K164" i="12" s="1"/>
  <c r="H163" i="12"/>
  <c r="I163" i="12" s="1"/>
  <c r="K163" i="12" s="1"/>
  <c r="H162" i="12"/>
  <c r="I162" i="12" s="1"/>
  <c r="K162" i="12" s="1"/>
  <c r="H161" i="12"/>
  <c r="I161" i="12" s="1"/>
  <c r="K161" i="12" s="1"/>
  <c r="H160" i="12"/>
  <c r="E160" i="12"/>
  <c r="H154" i="12"/>
  <c r="I154" i="12" s="1"/>
  <c r="K154" i="12" s="1"/>
  <c r="H153" i="12"/>
  <c r="I153" i="12" s="1"/>
  <c r="K153" i="12" s="1"/>
  <c r="H152" i="12"/>
  <c r="I152" i="12" s="1"/>
  <c r="K152" i="12" s="1"/>
  <c r="H151" i="12"/>
  <c r="I151" i="12" s="1"/>
  <c r="K151" i="12" s="1"/>
  <c r="H150" i="12"/>
  <c r="E150" i="12"/>
  <c r="H144" i="12"/>
  <c r="I144" i="12" s="1"/>
  <c r="K144" i="12" s="1"/>
  <c r="H143" i="12"/>
  <c r="I143" i="12" s="1"/>
  <c r="K143" i="12" s="1"/>
  <c r="H142" i="12"/>
  <c r="I142" i="12" s="1"/>
  <c r="K142" i="12" s="1"/>
  <c r="H141" i="12"/>
  <c r="I141" i="12" s="1"/>
  <c r="K141" i="12" s="1"/>
  <c r="H140" i="12"/>
  <c r="E140" i="12"/>
  <c r="H127" i="12"/>
  <c r="I127" i="12" s="1"/>
  <c r="K127" i="12" s="1"/>
  <c r="H126" i="12"/>
  <c r="I126" i="12" s="1"/>
  <c r="K126" i="12" s="1"/>
  <c r="H125" i="12"/>
  <c r="I125" i="12" s="1"/>
  <c r="K125" i="12" s="1"/>
  <c r="H124" i="12"/>
  <c r="E124" i="12"/>
  <c r="H118" i="12"/>
  <c r="I118" i="12" s="1"/>
  <c r="K118" i="12" s="1"/>
  <c r="H117" i="12"/>
  <c r="I117" i="12" s="1"/>
  <c r="K117" i="12" s="1"/>
  <c r="H116" i="12"/>
  <c r="I116" i="12" s="1"/>
  <c r="K116" i="12" s="1"/>
  <c r="H115" i="12"/>
  <c r="E115" i="12"/>
  <c r="H84" i="12"/>
  <c r="I84" i="12" s="1"/>
  <c r="K84" i="12" s="1"/>
  <c r="H83" i="12"/>
  <c r="I83" i="12" s="1"/>
  <c r="K83" i="12" s="1"/>
  <c r="H82" i="12"/>
  <c r="I82" i="12" s="1"/>
  <c r="K82" i="12" s="1"/>
  <c r="H81" i="12"/>
  <c r="E81" i="12"/>
  <c r="H75" i="12"/>
  <c r="I75" i="12" s="1"/>
  <c r="K75" i="12" s="1"/>
  <c r="H74" i="12"/>
  <c r="I74" i="12" s="1"/>
  <c r="K74" i="12" s="1"/>
  <c r="H73" i="12"/>
  <c r="I73" i="12" s="1"/>
  <c r="K73" i="12" s="1"/>
  <c r="H72" i="12"/>
  <c r="I72" i="12" s="1"/>
  <c r="K72" i="12" s="1"/>
  <c r="H71" i="12"/>
  <c r="I71" i="12" s="1"/>
  <c r="K71" i="12" s="1"/>
  <c r="H70" i="12"/>
  <c r="I70" i="12" s="1"/>
  <c r="K70" i="12" s="1"/>
  <c r="H69" i="12"/>
  <c r="I69" i="12" s="1"/>
  <c r="H10" i="12"/>
  <c r="I10" i="12" s="1"/>
  <c r="K10" i="12" s="1"/>
  <c r="H9" i="12"/>
  <c r="I9" i="12" s="1"/>
  <c r="K9" i="12" s="1"/>
  <c r="H8" i="12"/>
  <c r="I8" i="12" s="1"/>
  <c r="K8" i="12" s="1"/>
  <c r="H7" i="12"/>
  <c r="I7" i="12" s="1"/>
  <c r="K7" i="12" s="1"/>
  <c r="H6" i="12"/>
  <c r="I6" i="12" s="1"/>
  <c r="K6" i="12" s="1"/>
  <c r="H5" i="12"/>
  <c r="I5" i="12" s="1"/>
  <c r="I115" i="12" l="1"/>
  <c r="K115" i="12" s="1"/>
  <c r="K119" i="12" s="1"/>
  <c r="I244" i="12"/>
  <c r="I124" i="12"/>
  <c r="I128" i="12" s="1"/>
  <c r="I140" i="12"/>
  <c r="I145" i="12" s="1"/>
  <c r="I170" i="12"/>
  <c r="K170" i="12" s="1"/>
  <c r="K175" i="12" s="1"/>
  <c r="I150" i="12"/>
  <c r="K150" i="12" s="1"/>
  <c r="K155" i="12" s="1"/>
  <c r="K193" i="12"/>
  <c r="I83" i="5" s="1"/>
  <c r="I160" i="12"/>
  <c r="K160" i="12" s="1"/>
  <c r="K165" i="12" s="1"/>
  <c r="I81" i="12"/>
  <c r="I85" i="12" s="1"/>
  <c r="I226" i="12"/>
  <c r="I11" i="12"/>
  <c r="K5" i="12"/>
  <c r="K11" i="12" s="1"/>
  <c r="I210" i="12"/>
  <c r="K207" i="12"/>
  <c r="K210" i="12" s="1"/>
  <c r="C89" i="5" s="1"/>
  <c r="I202" i="12"/>
  <c r="K198" i="12"/>
  <c r="K202" i="12" s="1"/>
  <c r="I235" i="12"/>
  <c r="K231" i="12"/>
  <c r="K235" i="12" s="1"/>
  <c r="I22" i="12"/>
  <c r="K22" i="12"/>
  <c r="I33" i="12"/>
  <c r="K33" i="12"/>
  <c r="I44" i="12"/>
  <c r="K44" i="12"/>
  <c r="K69" i="12"/>
  <c r="K76" i="12" s="1"/>
  <c r="I76" i="12"/>
  <c r="I253" i="12"/>
  <c r="K250" i="12"/>
  <c r="K253" i="12" s="1"/>
  <c r="K240" i="12"/>
  <c r="K244" i="12" s="1"/>
  <c r="K222" i="12"/>
  <c r="K226" i="12" s="1"/>
  <c r="K140" i="12" l="1"/>
  <c r="K145" i="12" s="1"/>
  <c r="K124" i="12"/>
  <c r="K128" i="12" s="1"/>
  <c r="I119" i="12"/>
  <c r="I193" i="12"/>
  <c r="K81" i="12"/>
  <c r="K85" i="12" s="1"/>
  <c r="I165" i="12"/>
  <c r="I175" i="12"/>
  <c r="I155" i="12"/>
  <c r="J142" i="5"/>
  <c r="I142" i="5"/>
  <c r="H142" i="5"/>
  <c r="G142" i="5"/>
  <c r="C142" i="5"/>
  <c r="G19" i="11" l="1"/>
  <c r="I19" i="11" s="1"/>
  <c r="G18" i="11"/>
  <c r="I18" i="11" s="1"/>
  <c r="C58" i="5" s="1"/>
  <c r="F18" i="11"/>
  <c r="H58" i="5" l="1"/>
  <c r="I58" i="5"/>
  <c r="G58" i="5"/>
  <c r="E58" i="5"/>
  <c r="I152" i="5"/>
  <c r="H152" i="5"/>
  <c r="G152" i="5"/>
  <c r="E141" i="5"/>
  <c r="E142" i="5" s="1"/>
  <c r="J123" i="5"/>
  <c r="J122" i="5"/>
  <c r="G122" i="5"/>
  <c r="E122" i="5"/>
  <c r="D122" i="5"/>
  <c r="F20" i="11" l="1"/>
  <c r="G20" i="11" s="1"/>
  <c r="I20" i="11" s="1"/>
  <c r="G17" i="11"/>
  <c r="I17" i="11" s="1"/>
  <c r="G16" i="11"/>
  <c r="I16" i="11" s="1"/>
  <c r="J58" i="5" s="1"/>
  <c r="F16" i="11"/>
  <c r="H33" i="7" l="1"/>
  <c r="I33" i="7" s="1"/>
  <c r="K33" i="7" s="1"/>
  <c r="H32" i="7"/>
  <c r="I32" i="7" s="1"/>
  <c r="K32" i="7" s="1"/>
  <c r="H31" i="7"/>
  <c r="I31" i="7" s="1"/>
  <c r="K31" i="7" s="1"/>
  <c r="H30" i="7"/>
  <c r="I30" i="7" s="1"/>
  <c r="K30" i="7" s="1"/>
  <c r="H29" i="7"/>
  <c r="I29" i="7" s="1"/>
  <c r="H68" i="7"/>
  <c r="I68" i="7" s="1"/>
  <c r="K68" i="7" s="1"/>
  <c r="H67" i="7"/>
  <c r="I67" i="7" s="1"/>
  <c r="K67" i="7" s="1"/>
  <c r="H66" i="7"/>
  <c r="I66" i="7" s="1"/>
  <c r="K66" i="7" s="1"/>
  <c r="H65" i="7"/>
  <c r="I65" i="7" s="1"/>
  <c r="K65" i="7" s="1"/>
  <c r="H64" i="7"/>
  <c r="I64" i="7" s="1"/>
  <c r="K64" i="7" s="1"/>
  <c r="H119" i="7"/>
  <c r="I119" i="7" s="1"/>
  <c r="K119" i="7" s="1"/>
  <c r="H118" i="7"/>
  <c r="H117" i="7"/>
  <c r="H116" i="7"/>
  <c r="H115" i="7"/>
  <c r="I115" i="7" s="1"/>
  <c r="M168" i="7"/>
  <c r="E168" i="7" s="1"/>
  <c r="M159" i="7"/>
  <c r="E159" i="7" s="1"/>
  <c r="M150" i="7"/>
  <c r="E150" i="7" s="1"/>
  <c r="M142" i="7"/>
  <c r="E142" i="7" s="1"/>
  <c r="M106" i="7"/>
  <c r="E106" i="7" s="1"/>
  <c r="M97" i="7"/>
  <c r="E97" i="7" s="1"/>
  <c r="M89" i="7"/>
  <c r="E89" i="7" s="1"/>
  <c r="M55" i="7"/>
  <c r="E55" i="7" s="1"/>
  <c r="M46" i="7"/>
  <c r="E46" i="7" s="1"/>
  <c r="M38" i="7"/>
  <c r="E38" i="7" s="1"/>
  <c r="M20" i="7"/>
  <c r="E20" i="7" s="1"/>
  <c r="M11" i="7"/>
  <c r="E11" i="7" s="1"/>
  <c r="M3" i="7"/>
  <c r="E3" i="7" s="1"/>
  <c r="L172" i="7"/>
  <c r="H172" i="7"/>
  <c r="I172" i="7" s="1"/>
  <c r="K172" i="7" s="1"/>
  <c r="L171" i="7"/>
  <c r="E171" i="7" s="1"/>
  <c r="H171" i="7"/>
  <c r="L170" i="7"/>
  <c r="E170" i="7" s="1"/>
  <c r="H170" i="7"/>
  <c r="L169" i="7"/>
  <c r="E169" i="7" s="1"/>
  <c r="H169" i="7"/>
  <c r="H168" i="7"/>
  <c r="C108" i="5"/>
  <c r="C107" i="5"/>
  <c r="D106" i="5"/>
  <c r="D105" i="5"/>
  <c r="I34" i="7" l="1"/>
  <c r="K29" i="7"/>
  <c r="K34" i="7" s="1"/>
  <c r="K69" i="7"/>
  <c r="I69" i="7"/>
  <c r="I170" i="7"/>
  <c r="K170" i="7" s="1"/>
  <c r="I117" i="7"/>
  <c r="K117" i="7" s="1"/>
  <c r="I118" i="7"/>
  <c r="K118" i="7" s="1"/>
  <c r="K115" i="7"/>
  <c r="I116" i="7"/>
  <c r="K116" i="7" s="1"/>
  <c r="I169" i="7"/>
  <c r="K169" i="7" s="1"/>
  <c r="I168" i="7"/>
  <c r="K168" i="7" s="1"/>
  <c r="I171" i="7"/>
  <c r="K171" i="7" s="1"/>
  <c r="K120" i="7" l="1"/>
  <c r="I120" i="7"/>
  <c r="K173" i="7"/>
  <c r="I173" i="7"/>
  <c r="K110" i="5" l="1"/>
  <c r="H229" i="7" l="1"/>
  <c r="I229" i="7" s="1"/>
  <c r="K229" i="7" s="1"/>
  <c r="H228" i="7"/>
  <c r="I228" i="7" s="1"/>
  <c r="K228" i="7" s="1"/>
  <c r="H227" i="7"/>
  <c r="I227" i="7" s="1"/>
  <c r="K227" i="7" s="1"/>
  <c r="H226" i="7"/>
  <c r="I226" i="7" s="1"/>
  <c r="K226" i="7" s="1"/>
  <c r="H225" i="7"/>
  <c r="I225" i="7" s="1"/>
  <c r="H219" i="7"/>
  <c r="I219" i="7" s="1"/>
  <c r="K219" i="7" s="1"/>
  <c r="H218" i="7"/>
  <c r="I218" i="7" s="1"/>
  <c r="K218" i="7" s="1"/>
  <c r="H217" i="7"/>
  <c r="I217" i="7" s="1"/>
  <c r="K217" i="7" s="1"/>
  <c r="H216" i="7"/>
  <c r="I216" i="7" s="1"/>
  <c r="K216" i="7" s="1"/>
  <c r="H215" i="7"/>
  <c r="I215" i="7" s="1"/>
  <c r="K215" i="7" s="1"/>
  <c r="H209" i="7"/>
  <c r="I209" i="7" s="1"/>
  <c r="K209" i="7" s="1"/>
  <c r="H208" i="7"/>
  <c r="I208" i="7" s="1"/>
  <c r="K208" i="7" s="1"/>
  <c r="H207" i="7"/>
  <c r="I207" i="7" s="1"/>
  <c r="K207" i="7" s="1"/>
  <c r="H206" i="7"/>
  <c r="I206" i="7" s="1"/>
  <c r="K206" i="7" s="1"/>
  <c r="H205" i="7"/>
  <c r="I205" i="7" s="1"/>
  <c r="K225" i="7" l="1"/>
  <c r="K230" i="7" s="1"/>
  <c r="E37" i="5" s="1"/>
  <c r="I230" i="7"/>
  <c r="K220" i="7"/>
  <c r="E36" i="5" s="1"/>
  <c r="I220" i="7"/>
  <c r="I210" i="7"/>
  <c r="K205" i="7"/>
  <c r="K210" i="7" s="1"/>
  <c r="E35" i="5" s="1"/>
  <c r="R17" i="10" l="1"/>
  <c r="M16" i="10"/>
  <c r="P16" i="10" s="1"/>
  <c r="R16" i="10" s="1"/>
  <c r="M15" i="10"/>
  <c r="M14" i="10"/>
  <c r="M13" i="10"/>
  <c r="O16" i="10"/>
  <c r="O15" i="10" l="1"/>
  <c r="P15" i="10"/>
  <c r="R15" i="10" s="1"/>
  <c r="O14" i="10"/>
  <c r="P14" i="10"/>
  <c r="R14" i="10" s="1"/>
  <c r="O13" i="10"/>
  <c r="P13" i="10"/>
  <c r="R13" i="10" s="1"/>
  <c r="O7" i="10"/>
  <c r="O6" i="10"/>
  <c r="O5" i="10"/>
  <c r="M7" i="10"/>
  <c r="P7" i="10" s="1"/>
  <c r="R7" i="10" s="1"/>
  <c r="M6" i="10"/>
  <c r="P6" i="10" s="1"/>
  <c r="M5" i="10"/>
  <c r="P5" i="10" s="1"/>
  <c r="R5" i="10" s="1"/>
  <c r="R6" i="10" l="1"/>
  <c r="R8" i="10" s="1"/>
  <c r="K21" i="10"/>
  <c r="M21" i="10"/>
  <c r="E86" i="9"/>
  <c r="I86" i="9" s="1"/>
  <c r="I87" i="9" s="1"/>
  <c r="E85" i="9"/>
  <c r="I85" i="9" s="1"/>
  <c r="K85" i="9" s="1"/>
  <c r="K87" i="9" l="1"/>
  <c r="K86" i="9"/>
  <c r="E199" i="7"/>
  <c r="K103" i="5" l="1"/>
  <c r="L103" i="5" s="1"/>
  <c r="K100" i="5"/>
  <c r="L100" i="5" s="1"/>
  <c r="L101" i="5"/>
  <c r="K101" i="5"/>
  <c r="K25" i="5" l="1"/>
  <c r="K24" i="5"/>
  <c r="F101" i="5"/>
  <c r="F100" i="5"/>
  <c r="E79" i="9"/>
  <c r="I79" i="9" s="1"/>
  <c r="K79" i="9" s="1"/>
  <c r="I78" i="9"/>
  <c r="E73" i="9"/>
  <c r="I73" i="9" s="1"/>
  <c r="K73" i="9" s="1"/>
  <c r="E72" i="9"/>
  <c r="I67" i="9"/>
  <c r="K67" i="9" s="1"/>
  <c r="E67" i="9"/>
  <c r="I66" i="9"/>
  <c r="I68" i="9" s="1"/>
  <c r="E61" i="9"/>
  <c r="I61" i="9" s="1"/>
  <c r="K61" i="9" s="1"/>
  <c r="I60" i="9"/>
  <c r="L79" i="9"/>
  <c r="L73" i="9"/>
  <c r="L72" i="9"/>
  <c r="L67" i="9"/>
  <c r="L61" i="9"/>
  <c r="I54" i="9"/>
  <c r="K54" i="9" s="1"/>
  <c r="E54" i="9"/>
  <c r="I53" i="9"/>
  <c r="I55" i="9" s="1"/>
  <c r="I48" i="9"/>
  <c r="K48" i="9" s="1"/>
  <c r="E48" i="9"/>
  <c r="I47" i="9"/>
  <c r="I42" i="9"/>
  <c r="K42" i="9" s="1"/>
  <c r="E42" i="9"/>
  <c r="I41" i="9"/>
  <c r="K41" i="9" s="1"/>
  <c r="E36" i="9"/>
  <c r="I36" i="9" s="1"/>
  <c r="K36" i="9" s="1"/>
  <c r="I35" i="9"/>
  <c r="L54" i="9"/>
  <c r="L48" i="9"/>
  <c r="L42" i="9"/>
  <c r="L36" i="9"/>
  <c r="E29" i="9"/>
  <c r="I29" i="9" s="1"/>
  <c r="K29" i="9" s="1"/>
  <c r="I28" i="9"/>
  <c r="E23" i="9"/>
  <c r="I23" i="9" s="1"/>
  <c r="K23" i="9" s="1"/>
  <c r="I22" i="9"/>
  <c r="L29" i="9"/>
  <c r="L23" i="9"/>
  <c r="I16" i="9"/>
  <c r="K16" i="9" s="1"/>
  <c r="I15" i="9"/>
  <c r="I10" i="9"/>
  <c r="K10" i="9" s="1"/>
  <c r="I9" i="9"/>
  <c r="L16" i="9"/>
  <c r="L10" i="9"/>
  <c r="I3" i="9"/>
  <c r="L4" i="9"/>
  <c r="I4" i="9" s="1"/>
  <c r="K4" i="9" s="1"/>
  <c r="H147" i="8"/>
  <c r="H146" i="8"/>
  <c r="H145" i="8"/>
  <c r="I145" i="8" s="1"/>
  <c r="H140" i="8"/>
  <c r="H139" i="8"/>
  <c r="H138" i="8"/>
  <c r="I138" i="8" s="1"/>
  <c r="K138" i="8" s="1"/>
  <c r="L118" i="8"/>
  <c r="E118" i="8" s="1"/>
  <c r="I118" i="8" s="1"/>
  <c r="K118" i="8" s="1"/>
  <c r="L117" i="8"/>
  <c r="E117" i="8" s="1"/>
  <c r="I117" i="8" s="1"/>
  <c r="L116" i="8"/>
  <c r="E116" i="8" s="1"/>
  <c r="I116" i="8" s="1"/>
  <c r="K116" i="8" s="1"/>
  <c r="L111" i="8"/>
  <c r="E111" i="8" s="1"/>
  <c r="I111" i="8" s="1"/>
  <c r="K111" i="8" s="1"/>
  <c r="L110" i="8"/>
  <c r="E110" i="8" s="1"/>
  <c r="I110" i="8" s="1"/>
  <c r="K110" i="8" s="1"/>
  <c r="L109" i="8"/>
  <c r="E109" i="8" s="1"/>
  <c r="I109" i="8" s="1"/>
  <c r="K109" i="8" s="1"/>
  <c r="L104" i="8"/>
  <c r="E104" i="8" s="1"/>
  <c r="I104" i="8" s="1"/>
  <c r="K104" i="8" s="1"/>
  <c r="L103" i="8"/>
  <c r="E103" i="8" s="1"/>
  <c r="I103" i="8" s="1"/>
  <c r="K103" i="8" s="1"/>
  <c r="L102" i="8"/>
  <c r="E102" i="8" s="1"/>
  <c r="I102" i="8" s="1"/>
  <c r="K102" i="8" s="1"/>
  <c r="I81" i="8"/>
  <c r="K81" i="8" s="1"/>
  <c r="L82" i="8"/>
  <c r="I82" i="8" s="1"/>
  <c r="K82" i="8" s="1"/>
  <c r="L81" i="8"/>
  <c r="L80" i="8"/>
  <c r="E80" i="8" s="1"/>
  <c r="I80" i="8" s="1"/>
  <c r="L75" i="8"/>
  <c r="I75" i="8" s="1"/>
  <c r="K75" i="8" s="1"/>
  <c r="L74" i="8"/>
  <c r="I74" i="8" s="1"/>
  <c r="K74" i="8" s="1"/>
  <c r="L73" i="8"/>
  <c r="E73" i="8" s="1"/>
  <c r="I73" i="8" s="1"/>
  <c r="L68" i="8"/>
  <c r="I68" i="8" s="1"/>
  <c r="K68" i="8" s="1"/>
  <c r="L67" i="8"/>
  <c r="I67" i="8" s="1"/>
  <c r="K67" i="8" s="1"/>
  <c r="L66" i="8"/>
  <c r="E66" i="8" s="1"/>
  <c r="I66" i="8" s="1"/>
  <c r="L48" i="8"/>
  <c r="E48" i="8" s="1"/>
  <c r="I48" i="8" s="1"/>
  <c r="K48" i="8" s="1"/>
  <c r="L47" i="8"/>
  <c r="E47" i="8" s="1"/>
  <c r="I47" i="8" s="1"/>
  <c r="K47" i="8" s="1"/>
  <c r="L46" i="8"/>
  <c r="E46" i="8" s="1"/>
  <c r="I46" i="8" s="1"/>
  <c r="L41" i="8"/>
  <c r="E41" i="8" s="1"/>
  <c r="I41" i="8" s="1"/>
  <c r="K41" i="8" s="1"/>
  <c r="L40" i="8"/>
  <c r="E40" i="8" s="1"/>
  <c r="I40" i="8" s="1"/>
  <c r="K40" i="8" s="1"/>
  <c r="L39" i="8"/>
  <c r="E39" i="8" s="1"/>
  <c r="I39" i="8" s="1"/>
  <c r="K39" i="8" s="1"/>
  <c r="L34" i="8"/>
  <c r="E34" i="8" s="1"/>
  <c r="I34" i="8" s="1"/>
  <c r="K34" i="8" s="1"/>
  <c r="L33" i="8"/>
  <c r="E33" i="8" s="1"/>
  <c r="I33" i="8" s="1"/>
  <c r="K33" i="8" s="1"/>
  <c r="L32" i="8"/>
  <c r="E32" i="8" s="1"/>
  <c r="I32" i="8" s="1"/>
  <c r="L26" i="8"/>
  <c r="I26" i="8" s="1"/>
  <c r="K26" i="8" s="1"/>
  <c r="L25" i="8"/>
  <c r="I25" i="8" s="1"/>
  <c r="K25" i="8" s="1"/>
  <c r="L24" i="8"/>
  <c r="E24" i="8" s="1"/>
  <c r="I24" i="8" s="1"/>
  <c r="K24" i="8" s="1"/>
  <c r="L17" i="8"/>
  <c r="E17" i="8" s="1"/>
  <c r="I17" i="8" s="1"/>
  <c r="L19" i="8"/>
  <c r="I19" i="8" s="1"/>
  <c r="K19" i="8" s="1"/>
  <c r="L18" i="8"/>
  <c r="I18" i="8" s="1"/>
  <c r="K18" i="8" s="1"/>
  <c r="L10" i="8"/>
  <c r="E10" i="8" s="1"/>
  <c r="I10" i="8" s="1"/>
  <c r="L12" i="8"/>
  <c r="I12" i="8" s="1"/>
  <c r="K12" i="8" s="1"/>
  <c r="L11" i="8"/>
  <c r="I11" i="8" s="1"/>
  <c r="K11" i="8" s="1"/>
  <c r="L5" i="8"/>
  <c r="L4" i="8"/>
  <c r="I4" i="8" s="1"/>
  <c r="K4" i="8" s="1"/>
  <c r="L3" i="8"/>
  <c r="E3" i="8" s="1"/>
  <c r="I3" i="8" s="1"/>
  <c r="H199" i="7"/>
  <c r="H198" i="7"/>
  <c r="H197" i="7"/>
  <c r="I197" i="7" s="1"/>
  <c r="K197" i="7" s="1"/>
  <c r="H196" i="7"/>
  <c r="I196" i="7" s="1"/>
  <c r="K196" i="7" s="1"/>
  <c r="H195" i="7"/>
  <c r="I195" i="7" s="1"/>
  <c r="L163" i="7"/>
  <c r="E163" i="7" s="1"/>
  <c r="L162" i="7"/>
  <c r="L161" i="7"/>
  <c r="L160" i="7"/>
  <c r="E160" i="7" s="1"/>
  <c r="L154" i="7"/>
  <c r="E154" i="7" s="1"/>
  <c r="L153" i="7"/>
  <c r="L152" i="7"/>
  <c r="L151" i="7"/>
  <c r="E151" i="7" s="1"/>
  <c r="L145" i="7"/>
  <c r="L144" i="7"/>
  <c r="L143" i="7"/>
  <c r="E143" i="7" s="1"/>
  <c r="H163" i="7"/>
  <c r="H162" i="7"/>
  <c r="H161" i="7"/>
  <c r="H160" i="7"/>
  <c r="H159" i="7"/>
  <c r="H154" i="7"/>
  <c r="H153" i="7"/>
  <c r="H152" i="7"/>
  <c r="H151" i="7"/>
  <c r="H150" i="7"/>
  <c r="H145" i="7"/>
  <c r="H144" i="7"/>
  <c r="H143" i="7"/>
  <c r="H142" i="7"/>
  <c r="L110" i="7"/>
  <c r="E110" i="7" s="1"/>
  <c r="I110" i="7" s="1"/>
  <c r="K110" i="7" s="1"/>
  <c r="L109" i="7"/>
  <c r="L108" i="7"/>
  <c r="I108" i="7" s="1"/>
  <c r="K108" i="7" s="1"/>
  <c r="L107" i="7"/>
  <c r="E107" i="7" s="1"/>
  <c r="I107" i="7" s="1"/>
  <c r="K107" i="7" s="1"/>
  <c r="L101" i="7"/>
  <c r="E101" i="7" s="1"/>
  <c r="L100" i="7"/>
  <c r="L99" i="7"/>
  <c r="L98" i="7"/>
  <c r="E98" i="7" s="1"/>
  <c r="L92" i="7"/>
  <c r="L91" i="7"/>
  <c r="L90" i="7"/>
  <c r="E90" i="7" s="1"/>
  <c r="I109" i="7"/>
  <c r="K109" i="7" s="1"/>
  <c r="I106" i="7"/>
  <c r="H101" i="7"/>
  <c r="H100" i="7"/>
  <c r="H99" i="7"/>
  <c r="H98" i="7"/>
  <c r="H97" i="7"/>
  <c r="H92" i="7"/>
  <c r="H91" i="7"/>
  <c r="H90" i="7"/>
  <c r="H89" i="7"/>
  <c r="L59" i="7"/>
  <c r="E59" i="7" s="1"/>
  <c r="L58" i="7"/>
  <c r="L57" i="7"/>
  <c r="L56" i="7"/>
  <c r="E56" i="7" s="1"/>
  <c r="L50" i="7"/>
  <c r="E50" i="7" s="1"/>
  <c r="L49" i="7"/>
  <c r="L48" i="7"/>
  <c r="L47" i="7"/>
  <c r="E47" i="7" s="1"/>
  <c r="L41" i="7"/>
  <c r="L40" i="7"/>
  <c r="L39" i="7"/>
  <c r="E39" i="7" s="1"/>
  <c r="H59" i="7"/>
  <c r="H58" i="7"/>
  <c r="H57" i="7"/>
  <c r="H56" i="7"/>
  <c r="H55" i="7"/>
  <c r="H50" i="7"/>
  <c r="H49" i="7"/>
  <c r="H48" i="7"/>
  <c r="H47" i="7"/>
  <c r="H46" i="7"/>
  <c r="H41" i="7"/>
  <c r="H40" i="7"/>
  <c r="H39" i="7"/>
  <c r="H38" i="7"/>
  <c r="L24" i="7"/>
  <c r="E24" i="7" s="1"/>
  <c r="L23" i="7"/>
  <c r="L22" i="7"/>
  <c r="L21" i="7"/>
  <c r="E21" i="7" s="1"/>
  <c r="L15" i="7"/>
  <c r="E15" i="7" s="1"/>
  <c r="L14" i="7"/>
  <c r="L13" i="7"/>
  <c r="L12" i="7"/>
  <c r="E12" i="7" s="1"/>
  <c r="L6" i="7"/>
  <c r="L5" i="7"/>
  <c r="L4" i="7"/>
  <c r="E4" i="7" s="1"/>
  <c r="H24" i="7"/>
  <c r="H23" i="7"/>
  <c r="H22" i="7"/>
  <c r="H21" i="7"/>
  <c r="H20" i="7"/>
  <c r="H15" i="7"/>
  <c r="H14" i="7"/>
  <c r="H13" i="7"/>
  <c r="H12" i="7"/>
  <c r="H11" i="7"/>
  <c r="H6" i="7"/>
  <c r="H5" i="7"/>
  <c r="H4" i="7"/>
  <c r="H3" i="7"/>
  <c r="I5" i="8" l="1"/>
  <c r="K3" i="9"/>
  <c r="K5" i="9" s="1"/>
  <c r="J46" i="5" s="1"/>
  <c r="I5" i="9"/>
  <c r="I144" i="7"/>
  <c r="K144" i="7" s="1"/>
  <c r="I55" i="7"/>
  <c r="K55" i="7" s="1"/>
  <c r="I56" i="7"/>
  <c r="K56" i="7" s="1"/>
  <c r="I22" i="7"/>
  <c r="K22" i="7" s="1"/>
  <c r="I15" i="7"/>
  <c r="K15" i="7" s="1"/>
  <c r="I98" i="7"/>
  <c r="K98" i="7" s="1"/>
  <c r="I153" i="7"/>
  <c r="K153" i="7" s="1"/>
  <c r="I97" i="7"/>
  <c r="K97" i="7" s="1"/>
  <c r="I24" i="7"/>
  <c r="K24" i="7" s="1"/>
  <c r="I152" i="7"/>
  <c r="K152" i="7" s="1"/>
  <c r="I91" i="7"/>
  <c r="K91" i="7" s="1"/>
  <c r="I143" i="7"/>
  <c r="K143" i="7" s="1"/>
  <c r="I41" i="7"/>
  <c r="K41" i="7" s="1"/>
  <c r="I40" i="7"/>
  <c r="K40" i="7" s="1"/>
  <c r="I80" i="9"/>
  <c r="K78" i="9"/>
  <c r="K80" i="9" s="1"/>
  <c r="H49" i="5" s="1"/>
  <c r="I74" i="9"/>
  <c r="K72" i="9"/>
  <c r="K74" i="9" s="1"/>
  <c r="H48" i="5" s="1"/>
  <c r="K66" i="9"/>
  <c r="K68" i="9" s="1"/>
  <c r="H47" i="5" s="1"/>
  <c r="I62" i="9"/>
  <c r="K60" i="9"/>
  <c r="K62" i="9" s="1"/>
  <c r="H46" i="5" s="1"/>
  <c r="K53" i="9"/>
  <c r="K55" i="9" s="1"/>
  <c r="G49" i="5" s="1"/>
  <c r="I49" i="9"/>
  <c r="K47" i="9"/>
  <c r="K49" i="9" s="1"/>
  <c r="G48" i="5" s="1"/>
  <c r="K43" i="9"/>
  <c r="G47" i="5" s="1"/>
  <c r="I43" i="9"/>
  <c r="I37" i="9"/>
  <c r="K35" i="9"/>
  <c r="K37" i="9" s="1"/>
  <c r="G46" i="5" s="1"/>
  <c r="I30" i="9"/>
  <c r="K28" i="9"/>
  <c r="K30" i="9" s="1"/>
  <c r="I47" i="5" s="1"/>
  <c r="I24" i="9"/>
  <c r="K22" i="9"/>
  <c r="K24" i="9" s="1"/>
  <c r="I46" i="5" s="1"/>
  <c r="I17" i="9"/>
  <c r="K15" i="9"/>
  <c r="K17" i="9" s="1"/>
  <c r="J48" i="5" s="1"/>
  <c r="K9" i="9"/>
  <c r="K11" i="9" s="1"/>
  <c r="J47" i="5" s="1"/>
  <c r="I11" i="9"/>
  <c r="K3" i="8"/>
  <c r="K10" i="8"/>
  <c r="K13" i="8" s="1"/>
  <c r="J24" i="5" s="1"/>
  <c r="I13" i="8"/>
  <c r="K145" i="8"/>
  <c r="K117" i="8"/>
  <c r="K119" i="8" s="1"/>
  <c r="H23" i="5" s="1"/>
  <c r="I119" i="8"/>
  <c r="K112" i="8"/>
  <c r="H24" i="5" s="1"/>
  <c r="I112" i="8"/>
  <c r="K105" i="8"/>
  <c r="H25" i="5" s="1"/>
  <c r="I105" i="8"/>
  <c r="K80" i="8"/>
  <c r="K83" i="8" s="1"/>
  <c r="G23" i="5" s="1"/>
  <c r="I83" i="8"/>
  <c r="K73" i="8"/>
  <c r="K76" i="8" s="1"/>
  <c r="G24" i="5" s="1"/>
  <c r="I76" i="8"/>
  <c r="K66" i="8"/>
  <c r="K69" i="8" s="1"/>
  <c r="G25" i="5" s="1"/>
  <c r="I69" i="8"/>
  <c r="K46" i="8"/>
  <c r="K49" i="8" s="1"/>
  <c r="I23" i="5" s="1"/>
  <c r="I49" i="8"/>
  <c r="K42" i="8"/>
  <c r="I24" i="5" s="1"/>
  <c r="I42" i="8"/>
  <c r="I35" i="8"/>
  <c r="K32" i="8"/>
  <c r="K35" i="8" s="1"/>
  <c r="I25" i="5" s="1"/>
  <c r="K27" i="8"/>
  <c r="I27" i="8"/>
  <c r="K17" i="8"/>
  <c r="K20" i="8" s="1"/>
  <c r="J25" i="5" s="1"/>
  <c r="I20" i="8"/>
  <c r="I198" i="7"/>
  <c r="K198" i="7" s="1"/>
  <c r="I199" i="7"/>
  <c r="K199" i="7" s="1"/>
  <c r="K195" i="7"/>
  <c r="I163" i="7"/>
  <c r="K163" i="7" s="1"/>
  <c r="I162" i="7"/>
  <c r="K162" i="7" s="1"/>
  <c r="I161" i="7"/>
  <c r="K161" i="7" s="1"/>
  <c r="I160" i="7"/>
  <c r="K160" i="7" s="1"/>
  <c r="I154" i="7"/>
  <c r="K154" i="7" s="1"/>
  <c r="I151" i="7"/>
  <c r="K151" i="7" s="1"/>
  <c r="I145" i="7"/>
  <c r="K145" i="7" s="1"/>
  <c r="I142" i="7"/>
  <c r="K142" i="7" s="1"/>
  <c r="I90" i="7"/>
  <c r="K90" i="7" s="1"/>
  <c r="I150" i="7"/>
  <c r="K150" i="7" s="1"/>
  <c r="I59" i="7"/>
  <c r="K59" i="7" s="1"/>
  <c r="I20" i="7"/>
  <c r="K20" i="7" s="1"/>
  <c r="I49" i="7"/>
  <c r="K49" i="7" s="1"/>
  <c r="I6" i="7"/>
  <c r="K6" i="7" s="1"/>
  <c r="I58" i="7"/>
  <c r="K58" i="7" s="1"/>
  <c r="I50" i="7"/>
  <c r="K50" i="7" s="1"/>
  <c r="I11" i="7"/>
  <c r="K11" i="7" s="1"/>
  <c r="I12" i="7"/>
  <c r="K12" i="7" s="1"/>
  <c r="I159" i="7"/>
  <c r="K159" i="7" s="1"/>
  <c r="I101" i="7"/>
  <c r="K101" i="7" s="1"/>
  <c r="I100" i="7"/>
  <c r="K100" i="7" s="1"/>
  <c r="I99" i="7"/>
  <c r="K99" i="7" s="1"/>
  <c r="I92" i="7"/>
  <c r="K92" i="7" s="1"/>
  <c r="I89" i="7"/>
  <c r="K89" i="7" s="1"/>
  <c r="I111" i="7"/>
  <c r="K106" i="7"/>
  <c r="K111" i="7" s="1"/>
  <c r="G30" i="5" s="1"/>
  <c r="I57" i="7"/>
  <c r="K57" i="7" s="1"/>
  <c r="I48" i="7"/>
  <c r="K48" i="7" s="1"/>
  <c r="I47" i="7"/>
  <c r="K47" i="7" s="1"/>
  <c r="I46" i="7"/>
  <c r="K46" i="7" s="1"/>
  <c r="I39" i="7"/>
  <c r="K39" i="7" s="1"/>
  <c r="I38" i="7"/>
  <c r="I23" i="7"/>
  <c r="K23" i="7" s="1"/>
  <c r="I21" i="7"/>
  <c r="K21" i="7" s="1"/>
  <c r="I14" i="7"/>
  <c r="K14" i="7" s="1"/>
  <c r="I13" i="7"/>
  <c r="K13" i="7" s="1"/>
  <c r="I5" i="7"/>
  <c r="K5" i="7" s="1"/>
  <c r="K5" i="8" l="1"/>
  <c r="K6" i="8" s="1"/>
  <c r="J23" i="5" s="1"/>
  <c r="I6" i="8"/>
  <c r="K155" i="7"/>
  <c r="H29" i="5" s="1"/>
  <c r="K93" i="7"/>
  <c r="G28" i="5" s="1"/>
  <c r="I60" i="7"/>
  <c r="K200" i="7"/>
  <c r="E34" i="5" s="1"/>
  <c r="I200" i="7"/>
  <c r="K164" i="7"/>
  <c r="H30" i="5" s="1"/>
  <c r="I164" i="7"/>
  <c r="I155" i="7"/>
  <c r="K146" i="7"/>
  <c r="H28" i="5" s="1"/>
  <c r="I146" i="7"/>
  <c r="K102" i="7"/>
  <c r="G29" i="5" s="1"/>
  <c r="K60" i="7"/>
  <c r="I30" i="5" s="1"/>
  <c r="I102" i="7"/>
  <c r="I93" i="7"/>
  <c r="K51" i="7"/>
  <c r="I29" i="5" s="1"/>
  <c r="I51" i="7"/>
  <c r="I42" i="7"/>
  <c r="K38" i="7"/>
  <c r="K42" i="7" s="1"/>
  <c r="I28" i="5" s="1"/>
  <c r="K25" i="7"/>
  <c r="J30" i="5" s="1"/>
  <c r="I25" i="7"/>
  <c r="I16" i="7"/>
  <c r="K16" i="7"/>
  <c r="J29" i="5" s="1"/>
  <c r="K42" i="5"/>
  <c r="K28" i="5"/>
  <c r="K23" i="5"/>
  <c r="M60" i="5"/>
  <c r="I140" i="8" l="1"/>
  <c r="K140" i="8" s="1"/>
  <c r="E147" i="8"/>
  <c r="I147" i="8" s="1"/>
  <c r="K147" i="8" s="1"/>
  <c r="E146" i="8" l="1"/>
  <c r="I146" i="8" s="1"/>
  <c r="I139" i="8"/>
  <c r="J16" i="5"/>
  <c r="H16" i="5"/>
  <c r="K139" i="8" l="1"/>
  <c r="K141" i="8" s="1"/>
  <c r="E25" i="5" s="1"/>
  <c r="I141" i="8"/>
  <c r="K146" i="8"/>
  <c r="K148" i="8" s="1"/>
  <c r="I148" i="8"/>
  <c r="J9" i="5"/>
  <c r="I9" i="5"/>
  <c r="Q15" i="5"/>
  <c r="H9" i="5"/>
  <c r="P15" i="5"/>
  <c r="G9" i="5"/>
  <c r="M15" i="5"/>
  <c r="L15" i="5"/>
  <c r="K15" i="5"/>
  <c r="J7" i="5"/>
  <c r="Q10" i="5" s="1"/>
  <c r="I7" i="5"/>
  <c r="P10" i="5" s="1"/>
  <c r="H7" i="5"/>
  <c r="O10" i="5" s="1"/>
  <c r="G7" i="5"/>
  <c r="N10" i="5" s="1"/>
  <c r="M10" i="5"/>
  <c r="E100" i="5" s="1"/>
  <c r="L10" i="5"/>
  <c r="K10" i="5"/>
  <c r="C100" i="5" s="1"/>
  <c r="D100" i="5" l="1"/>
  <c r="D101" i="5"/>
  <c r="E101" i="5"/>
  <c r="I100" i="5"/>
  <c r="I101" i="5"/>
  <c r="H100" i="5"/>
  <c r="H101" i="5"/>
  <c r="J100" i="5"/>
  <c r="J101" i="5"/>
  <c r="G100" i="5"/>
  <c r="G101" i="5"/>
  <c r="C60" i="5"/>
  <c r="C101" i="5"/>
  <c r="N15" i="5"/>
  <c r="O15" i="5"/>
  <c r="C59" i="5"/>
  <c r="F42" i="5" l="1"/>
  <c r="I4" i="7" l="1"/>
  <c r="K4" i="7" s="1"/>
  <c r="I3" i="7"/>
  <c r="K3" i="7" l="1"/>
  <c r="K7" i="7" s="1"/>
  <c r="J28" i="5" s="1"/>
  <c r="I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Camilo Wiest Candamil</author>
  </authors>
  <commentList>
    <comment ref="B33" authorId="0" shapeId="0" xr:uid="{AB771CB5-0503-4A0A-A62D-276924668D03}">
      <text>
        <r>
          <rPr>
            <b/>
            <sz val="9"/>
            <color indexed="81"/>
            <rFont val="Tahoma"/>
            <family val="2"/>
          </rPr>
          <t>Se debe ligar a un formato de video producido por Prisa Media</t>
        </r>
      </text>
    </comment>
    <comment ref="I53" authorId="0" shapeId="0" xr:uid="{6614D923-0F89-4C50-ACCF-5B6AC537462A}">
      <text>
        <r>
          <rPr>
            <b/>
            <sz val="9"/>
            <color indexed="81"/>
            <rFont val="Tahoma"/>
            <family val="2"/>
          </rPr>
          <t>Valor con Vocero</t>
        </r>
      </text>
    </comment>
    <comment ref="B59" authorId="0" shapeId="0" xr:uid="{6DA98C2B-1F8C-4D46-8A1E-1381D970974A}">
      <text>
        <r>
          <rPr>
            <b/>
            <sz val="9"/>
            <color indexed="81"/>
            <rFont val="Tahoma"/>
            <family val="2"/>
          </rPr>
          <t>Se debe ligar a un formato de video producido por Prisa Media</t>
        </r>
      </text>
    </comment>
    <comment ref="B60" authorId="0" shapeId="0" xr:uid="{88A6594C-5A11-4DEC-A1C4-718B13BC1573}">
      <text>
        <r>
          <rPr>
            <b/>
            <sz val="9"/>
            <color indexed="81"/>
            <rFont val="Tahoma"/>
            <family val="2"/>
          </rPr>
          <t>Se debe ligar a un formato de video producido por Prisa Media</t>
        </r>
      </text>
    </comment>
    <comment ref="B105" authorId="0" shapeId="0" xr:uid="{F4FA893F-45E6-4DD3-9964-C3AEABFB1182}">
      <text>
        <r>
          <rPr>
            <b/>
            <sz val="8"/>
            <color indexed="81"/>
            <rFont val="Tahoma"/>
            <family val="2"/>
          </rPr>
          <t>Nota en la que se habla al 100% del producto del cliente (aplica condiciones editoriales de publicación). Incluye destaque 5 días en home, 500k impresiones de native y publicación en FB de EP América</t>
        </r>
      </text>
    </comment>
    <comment ref="B106" authorId="0" shapeId="0" xr:uid="{ACFF0267-A046-416E-A4D9-1E35DC38DFFB}">
      <text>
        <r>
          <rPr>
            <b/>
            <sz val="8"/>
            <color indexed="81"/>
            <rFont val="Tahoma"/>
            <family val="2"/>
          </rPr>
          <t xml:space="preserve"> Incluye: nota de contenido construida a partir del cubrimiento a un evento. Se acompaña el evento, se toma fotografía y se cuenta lo sucedido, además incluye entrevista en una nota adicional a un vocero.. Incluye destaque 5 días en home, 500k impresiones de native y publicación en FB de EP América</t>
        </r>
      </text>
    </comment>
  </commentList>
</comments>
</file>

<file path=xl/sharedStrings.xml><?xml version="1.0" encoding="utf-8"?>
<sst xmlns="http://schemas.openxmlformats.org/spreadsheetml/2006/main" count="5460" uniqueCount="589">
  <si>
    <t>FORMATOS</t>
  </si>
  <si>
    <t>Valor CPM</t>
  </si>
  <si>
    <t>DISPLAY</t>
  </si>
  <si>
    <t>PRES FIJA</t>
  </si>
  <si>
    <t>INSTAGRAM</t>
  </si>
  <si>
    <t>YOUTUBE</t>
  </si>
  <si>
    <t>PRODUCCION Y CONTENIDO</t>
  </si>
  <si>
    <t>EP AMÉRICA</t>
  </si>
  <si>
    <t>CARACOL</t>
  </si>
  <si>
    <t>LA W</t>
  </si>
  <si>
    <t>TROPICANA</t>
  </si>
  <si>
    <t>BÉSAME</t>
  </si>
  <si>
    <t>RADIOACKTIVA</t>
  </si>
  <si>
    <t>LOS 40</t>
  </si>
  <si>
    <t>N/A</t>
  </si>
  <si>
    <t>PROGRAMÁTICA</t>
  </si>
  <si>
    <t>Los 40</t>
  </si>
  <si>
    <t>TIKTOK</t>
  </si>
  <si>
    <t>IPC</t>
  </si>
  <si>
    <t>Salario Mínimo</t>
  </si>
  <si>
    <t>AS COLOMBIA</t>
  </si>
  <si>
    <t>PROMEDIOS PRISA MEDIA 2026</t>
  </si>
  <si>
    <t>X</t>
  </si>
  <si>
    <t>FORMATOS PROMEDIO POR SALIDA - OBJETIVO: CPM</t>
  </si>
  <si>
    <t>FORMATOS PROMEDIO POR SALIDA: OBJETIVO: PERSONAS ALCANZADAS</t>
  </si>
  <si>
    <t>META</t>
  </si>
  <si>
    <t>Post</t>
  </si>
  <si>
    <t>EN VIVO</t>
  </si>
  <si>
    <t>FORMATOS PROMEDIO POR SALIDA: OBJETIVO: REPRODUCCIONES</t>
  </si>
  <si>
    <t>RÁFAGAS</t>
  </si>
  <si>
    <t>FORMATOS PROMEDIO POR SALIDA: OBJETIVO: REPRODUCCIONES / CPM</t>
  </si>
  <si>
    <t>FORMATOS PROMEDIO POR SALIDA: OBJETIVO: CPM</t>
  </si>
  <si>
    <t>REDES LOCALES</t>
  </si>
  <si>
    <t>El alcance se calcula dependiendo la ciudad</t>
  </si>
  <si>
    <t>El alcance se calcula con ejercicios a la medida del anunciante</t>
  </si>
  <si>
    <t>Los alcances pueden variar dependiendo de la creatividad, el mensaje y la temática de la campaña.</t>
  </si>
  <si>
    <t>Product Placement (en video)</t>
  </si>
  <si>
    <t>Product Placement con interacción (en video)</t>
  </si>
  <si>
    <t>Formulario básico (Qualifio)</t>
  </si>
  <si>
    <t>Branded Content exclusivo para cliente (EP América)</t>
  </si>
  <si>
    <t>Long Form (AS Colombia)</t>
  </si>
  <si>
    <t>Minuto a Minuto (AS Colombia)</t>
  </si>
  <si>
    <t>Tradicionales</t>
  </si>
  <si>
    <t>Video Pre roll</t>
  </si>
  <si>
    <t>Audiencias Extendidas (Geolocalización) Targeting Display</t>
  </si>
  <si>
    <t>Audiencias Extendidas (Geolocalización) Targeting Rich Media</t>
  </si>
  <si>
    <t>Botón Fijo (24 horas)</t>
  </si>
  <si>
    <t>Brand Day (24 horas)</t>
  </si>
  <si>
    <t>Brand Day Interactivo (24 horas)</t>
  </si>
  <si>
    <t>Patrocinio Sección Interna (24 horas)</t>
  </si>
  <si>
    <t>Tweet con URL, Foto y/o Video</t>
  </si>
  <si>
    <t>Colaboración</t>
  </si>
  <si>
    <t>Instagram - Facebook Post</t>
  </si>
  <si>
    <t>EP: Validar las políticas comerciales previamente con el equipo editorial.</t>
  </si>
  <si>
    <t>AS</t>
  </si>
  <si>
    <t>EP</t>
  </si>
  <si>
    <t>CRC</t>
  </si>
  <si>
    <r>
      <t xml:space="preserve">Formatos en Horizontal - Tarifa aplica para ciudades principales: Bogotá, Medellín, Cali, Barranquilla, Bucaramanga y Pereira. - </t>
    </r>
    <r>
      <rPr>
        <b/>
        <sz val="8"/>
        <color rgb="FF000000"/>
        <rFont val="Calibri"/>
        <family val="2"/>
        <scheme val="minor"/>
      </rPr>
      <t>Solo amplificación</t>
    </r>
  </si>
  <si>
    <r>
      <t xml:space="preserve">Formatos en Vertical - Tarifa aplica para ciudades principales: Bogotá, Medellín, Cali, Barranquilla, Bucaramanga y Pereira. - </t>
    </r>
    <r>
      <rPr>
        <b/>
        <sz val="8"/>
        <color rgb="FF000000"/>
        <rFont val="Calibri"/>
        <family val="2"/>
        <scheme val="minor"/>
      </rPr>
      <t>Solo amplificación</t>
    </r>
  </si>
  <si>
    <r>
      <t xml:space="preserve">Formatos en Vertical - Tarifa aplica para ciudades principales: Bogotá, Medellín, Cali, Barranquilla, Bucaramanga y Pereira. - </t>
    </r>
    <r>
      <rPr>
        <b/>
        <sz val="8"/>
        <color rgb="FF000000"/>
        <rFont val="Calibri"/>
        <family val="2"/>
        <scheme val="minor"/>
      </rPr>
      <t>Solo amplificación.</t>
    </r>
  </si>
  <si>
    <r>
      <t xml:space="preserve">Tarifa aplica para ciudades principales: Bogotá, Medellín, Cali, Barranquilla, Bucaramanga y Pereira. - </t>
    </r>
    <r>
      <rPr>
        <b/>
        <sz val="8"/>
        <color rgb="FF000000"/>
        <rFont val="Calibri"/>
        <family val="2"/>
        <scheme val="minor"/>
      </rPr>
      <t>Solo amplificación</t>
    </r>
  </si>
  <si>
    <r>
      <t xml:space="preserve">Formatos en Vertical - </t>
    </r>
    <r>
      <rPr>
        <b/>
        <sz val="8"/>
        <color rgb="FF000000"/>
        <rFont val="Calibri"/>
        <family val="2"/>
        <scheme val="minor"/>
      </rPr>
      <t>Solo amplificación</t>
    </r>
  </si>
  <si>
    <t>VIDEO</t>
  </si>
  <si>
    <t>MARCA</t>
  </si>
  <si>
    <t>CIUDAD</t>
  </si>
  <si>
    <t>PRODUCTO</t>
  </si>
  <si>
    <t>VALORIZACION</t>
  </si>
  <si>
    <t>VALOR VEZ</t>
  </si>
  <si>
    <t xml:space="preserve"> VECES DIA</t>
  </si>
  <si>
    <t>No DIAS</t>
  </si>
  <si>
    <t>TOTAL</t>
  </si>
  <si>
    <t>VALOR BTO</t>
  </si>
  <si>
    <t>DTO</t>
  </si>
  <si>
    <t>VALOR NETO</t>
  </si>
  <si>
    <t>LOS40</t>
  </si>
  <si>
    <t>NACIONAL</t>
  </si>
  <si>
    <t>IMPRESENTABLES</t>
  </si>
  <si>
    <t>SECCION ESPECIAL(RADIO)</t>
  </si>
  <si>
    <t>DIGITAL</t>
  </si>
  <si>
    <t>PRODUCCIÓN CAPSULA DE VIDEO</t>
  </si>
  <si>
    <t>REEL IG (PUBLICACIÓN)</t>
  </si>
  <si>
    <t>VIDEO TIK TOK (PUBLICACIÓN)</t>
  </si>
  <si>
    <t>PRODUCT PLACEMENT SIN INTERACCIÓN</t>
  </si>
  <si>
    <t>PRODUCT PLACEMENT + INTERACCIÓN</t>
  </si>
  <si>
    <t xml:space="preserve">LOS 40 - VIDEO SECCIONES - IMPRESENTABLES </t>
  </si>
  <si>
    <t>LOS 40 - VIDEO SECCIONES CON PRODUCT PLACEMENT  SIN INTERACCIÓN - (Cliente entrega el producto)</t>
  </si>
  <si>
    <t>LOS 40 - VIDEO SECCIONES CON PRODUCT PLACEMENT  + INTERACCIÓN - (Cliente entrega el producto)</t>
  </si>
  <si>
    <t>MORNING</t>
  </si>
  <si>
    <t>RADIOACKTIVA - VIDEO SECCIONES EL GALLO</t>
  </si>
  <si>
    <t>RADIOACKTIVA - VIDEO SECCIONES CON PRODUCT PLACEMENT  SIN INTERACCIÓN - (Cliente entrega el producto)</t>
  </si>
  <si>
    <t>RADIOACKTIVA - VIDEO SECCIONES CON PRODUCT PLACEMENT  + INTERACCIÓN - (Cliente entrega el producto)</t>
  </si>
  <si>
    <t>EMISORA</t>
  </si>
  <si>
    <t>BOGOTA</t>
  </si>
  <si>
    <t>COMO AMANECIO</t>
  </si>
  <si>
    <t>VECES DIA</t>
  </si>
  <si>
    <t>TROPICANA - BOGOTÁ - VIDEO SECCIONES CON PRODUCT PLACEMENT  SIN INTERACCIÓN - (Cliente entrega el producto)</t>
  </si>
  <si>
    <t>TROPICANA - BOGOTÁ - VIDEO SECCIONES CON PRODUCT PLACEMENT  + INTERACCIÓN - (Cliente entrega el producto)</t>
  </si>
  <si>
    <t>BOGOTÁ</t>
  </si>
  <si>
    <t>SECCION ESPECIAL (RADIO)</t>
  </si>
  <si>
    <t>BÉSAME - VIDEO SECCIONES INEXPERTAS BOGOTÁ</t>
  </si>
  <si>
    <t>BÉSAME - VIDEO SECCIONES CON PRODUCT PLACEMENT SIN INTERACCIÓN - (Cliente entrega el producto)</t>
  </si>
  <si>
    <t>BÉSAME - VIDEO SECCIONES CON PRODUCT PLACEMENT  + INTERACCIÓN - (Cliente entrega el producto)</t>
  </si>
  <si>
    <t xml:space="preserve">PRODUCT PLACEMENT </t>
  </si>
  <si>
    <t xml:space="preserve">CARACOL </t>
  </si>
  <si>
    <t>REEL TIK TOK (PUBLICACIÓN)</t>
  </si>
  <si>
    <t xml:space="preserve">TOTAL </t>
  </si>
  <si>
    <t>VIDEO (PRODUCCIÓN)</t>
  </si>
  <si>
    <t>LOS40.COM.CO</t>
  </si>
  <si>
    <t>LOS40 VIDEO REMOTO (BOG)</t>
  </si>
  <si>
    <t>MUSICAL</t>
  </si>
  <si>
    <t xml:space="preserve">REMOTO </t>
  </si>
  <si>
    <t>VIDEO REMOTO</t>
  </si>
  <si>
    <t>LOS40 VIDEO REMOTO (MEDELLIN)</t>
  </si>
  <si>
    <t>MEDELLIN</t>
  </si>
  <si>
    <t>LOS40 VIDEO REMOTO (CALI)</t>
  </si>
  <si>
    <t>CALI</t>
  </si>
  <si>
    <t>RADIOACKTIVA VIDEO REMOTO (BOG)</t>
  </si>
  <si>
    <t>RADIOACKTIVA VIDEO REMOTO (MEDELLIN)</t>
  </si>
  <si>
    <t>TROPICANA VIDEO REMOTO (BOG)</t>
  </si>
  <si>
    <t>TROPICANA VIDEO REMOTO (MEDELLIN)</t>
  </si>
  <si>
    <t>TROPICANA  VIDEO REMOTO (CALI)</t>
  </si>
  <si>
    <t>TROPICANA  VIDEO REMOTO (BARRANQUILLA)</t>
  </si>
  <si>
    <t>BARRANQUILLA</t>
  </si>
  <si>
    <t>BÉSAME VIDEO REMOTO (BOG)</t>
  </si>
  <si>
    <t>BÉSAME VIDEO REMOTO (MEDELLIN)</t>
  </si>
  <si>
    <t>BÉSAME  VIDEO REMOTO (CALI)</t>
  </si>
  <si>
    <t>BÉSAME VIDEO REMOTO (BARRANQUILLA)</t>
  </si>
  <si>
    <t>FORMATOS DE VIDEO A LA MEDIDA</t>
  </si>
  <si>
    <t>PRODUCCIÓN Y CONTENIDO</t>
  </si>
  <si>
    <t>CARACOL - VIDEO CONTENIDO / PRODUCTO GENÉRICO CON +2 TALENTOS</t>
  </si>
  <si>
    <t>TARIFAS 2026 PRISA MEDIA</t>
  </si>
  <si>
    <t>TARIFAS BRUTAS - VER POLÍTICA COMERCIAL PARA APLICAR DESCUENTOS</t>
  </si>
  <si>
    <t>Agrupador de Contenido con 3 notas + 100.000 impresiones</t>
  </si>
  <si>
    <t>Patrocinio Podcast  (Triton) 100.000 impresiones</t>
  </si>
  <si>
    <t>Formatos creados por Prisa Media - Todos los videos deben ser coordinados y aprobados por Producto comercial digital</t>
  </si>
  <si>
    <r>
      <t>Aplica para ciudades tipo B y C (Ciudades intermedias) -</t>
    </r>
    <r>
      <rPr>
        <b/>
        <sz val="8"/>
        <color rgb="FF000000"/>
        <rFont val="Calibri"/>
        <family val="2"/>
        <scheme val="minor"/>
      </rPr>
      <t xml:space="preserve"> Estas tarifas NO son válidas para ciudades principales (Bog, Med, Cal, Bquilla, Buc, Per)</t>
    </r>
  </si>
  <si>
    <t>CARACOL VIDEO REMOTO (NACIONAL)</t>
  </si>
  <si>
    <t>FLAYER SEMANAL CON DATA</t>
  </si>
  <si>
    <t>TARIFAS NACIONALES CARACOL RADIO - 2026</t>
  </si>
  <si>
    <t>FRECUENCIA</t>
  </si>
  <si>
    <t>PROGRAMAS</t>
  </si>
  <si>
    <t>VR BRUTO CUÑA 30"</t>
  </si>
  <si>
    <t>VR BRUTO SECCION</t>
  </si>
  <si>
    <t>Lunes a Viernes</t>
  </si>
  <si>
    <t>6AM - W</t>
  </si>
  <si>
    <t>NOTICIERO 1/2 DIA</t>
  </si>
  <si>
    <t>NA</t>
  </si>
  <si>
    <t>EL PULSO DEL FUTBOL</t>
  </si>
  <si>
    <t>DOS PUNTOS</t>
  </si>
  <si>
    <t>HORA 20</t>
  </si>
  <si>
    <t>LA POLEMICA</t>
  </si>
  <si>
    <t>AS MUNDIAL</t>
  </si>
  <si>
    <t>LUCIERNAGA</t>
  </si>
  <si>
    <t>REPETICION LUCIERNAGA</t>
  </si>
  <si>
    <t>LO MAS CARACOL</t>
  </si>
  <si>
    <t>NOTICIERO NACIONAL</t>
  </si>
  <si>
    <t>Domingo a Jueves</t>
  </si>
  <si>
    <t>UNICORNIO</t>
  </si>
  <si>
    <t>Viernes y Sabado</t>
  </si>
  <si>
    <t>LA NOCHE FANTASTICA</t>
  </si>
  <si>
    <t>Sabado y Domingo</t>
  </si>
  <si>
    <t>PROGRAMACION FIN DE SEMANA</t>
  </si>
  <si>
    <t>RADIO</t>
  </si>
  <si>
    <t>PROGRAMA</t>
  </si>
  <si>
    <t>LUCIÉRNAGA</t>
  </si>
  <si>
    <t>A VIVIR FDS</t>
  </si>
  <si>
    <t>FORMATO</t>
  </si>
  <si>
    <t>PROMOCIÓN</t>
  </si>
  <si>
    <t>PROMOCIONES STANDARD TODOS MENOS PLAZA ALVIRA</t>
  </si>
  <si>
    <t>NOTICIERO MEDIO DÍA</t>
  </si>
  <si>
    <t>PROMOCIONES STANDARD PLAZA ALVIRA</t>
  </si>
  <si>
    <t>CARACOL - VIDEO SECCIÓN  CON PRODUCT PLACEMENT</t>
  </si>
  <si>
    <t>FORMATOS DE VIDEO DE PRISA MEDIA (FRANQUCIAS)</t>
  </si>
  <si>
    <t>Banner</t>
  </si>
  <si>
    <t>Super Impo</t>
  </si>
  <si>
    <t>Desarrollo (hacerla)</t>
  </si>
  <si>
    <t>Video Sección PLUS</t>
  </si>
  <si>
    <t>MOMENTO CARACOL NOTICIERO</t>
  </si>
  <si>
    <t>MOMENTO EL PULSO, DOS PUNTOS, HORA 20, LA POLÉMICA, AS MUNDIAL</t>
  </si>
  <si>
    <t>MOMENTO LUCIÉRNAGA</t>
  </si>
  <si>
    <r>
      <rPr>
        <b/>
        <sz val="10"/>
        <color rgb="FF000000"/>
        <rFont val="Calibri"/>
        <family val="2"/>
        <scheme val="minor"/>
      </rPr>
      <t xml:space="preserve">La Michelada </t>
    </r>
    <r>
      <rPr>
        <sz val="10"/>
        <color rgb="FF000000"/>
        <rFont val="Calibri"/>
        <family val="2"/>
        <scheme val="minor"/>
      </rPr>
      <t xml:space="preserve">-  Incluye producción + amplificación con Reel en Tiktok e Instagram + 9 Promos Estándar en Radio (3 en Dos puntos, 3 en Luciérnada y 3 en A Vivir FDS) </t>
    </r>
    <r>
      <rPr>
        <b/>
        <sz val="10"/>
        <color rgb="FF000000"/>
        <rFont val="Calibri"/>
        <family val="2"/>
        <scheme val="minor"/>
      </rPr>
      <t>*Video Podcast*</t>
    </r>
  </si>
  <si>
    <t>Nota de contenido patrocinada + 100.000 impresiones</t>
  </si>
  <si>
    <t>Especial de Publicidad (EP América)</t>
  </si>
  <si>
    <t>Widget (AS Home - CRC Sección)</t>
  </si>
  <si>
    <t>BÉSAME - VIDEO SECCIONES PLUS</t>
  </si>
  <si>
    <t>DESARROLLO SECCIÓN PLUS</t>
  </si>
  <si>
    <t>Ver descripción detallada en la matriz de video digital</t>
  </si>
  <si>
    <r>
      <rPr>
        <b/>
        <sz val="10"/>
        <color rgb="FF000000"/>
        <rFont val="Calibri"/>
        <family val="2"/>
        <scheme val="minor"/>
      </rPr>
      <t>Rock and Gol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+ 15 promos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de 20" en programación musical nacional </t>
    </r>
    <r>
      <rPr>
        <b/>
        <sz val="10"/>
        <color rgb="FF000000"/>
        <rFont val="Calibri"/>
        <family val="2"/>
        <scheme val="minor"/>
      </rPr>
      <t>*Programa*</t>
    </r>
  </si>
  <si>
    <r>
      <rPr>
        <b/>
        <sz val="10"/>
        <color rgb="FF000000"/>
        <rFont val="Calibri"/>
        <family val="2"/>
        <scheme val="minor"/>
      </rPr>
      <t>AS Mundial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+ 4 cuñas de Radio en AS Mundial </t>
    </r>
    <r>
      <rPr>
        <b/>
        <sz val="10"/>
        <color rgb="FF000000"/>
        <rFont val="Calibri"/>
        <family val="2"/>
        <scheme val="minor"/>
      </rPr>
      <t>*Programa*</t>
    </r>
  </si>
  <si>
    <r>
      <rPr>
        <b/>
        <sz val="10"/>
        <color rgb="FF000000"/>
        <rFont val="Calibri"/>
        <family val="2"/>
        <scheme val="minor"/>
      </rPr>
      <t>La Polémica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+ 4 cuñas de Radio en Pulso del Fútbol </t>
    </r>
    <r>
      <rPr>
        <b/>
        <sz val="10"/>
        <color rgb="FF000000"/>
        <rFont val="Calibri"/>
        <family val="2"/>
        <scheme val="minor"/>
      </rPr>
      <t>*Programa*</t>
    </r>
  </si>
  <si>
    <r>
      <rPr>
        <b/>
        <sz val="10"/>
        <color rgb="FF000000"/>
        <rFont val="Calibri"/>
        <family val="2"/>
        <scheme val="minor"/>
      </rPr>
      <t>El BVar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+ 4 cuñas de Radio en el Bvar (FDS) </t>
    </r>
    <r>
      <rPr>
        <b/>
        <sz val="10"/>
        <color rgb="FF000000"/>
        <rFont val="Calibri"/>
        <family val="2"/>
        <scheme val="minor"/>
      </rPr>
      <t>*Programa*</t>
    </r>
  </si>
  <si>
    <r>
      <rPr>
        <b/>
        <sz val="10"/>
        <color rgb="FF000000"/>
        <rFont val="Calibri"/>
        <family val="2"/>
        <scheme val="minor"/>
      </rPr>
      <t>El Pulso del Fútbol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+ 4 cuñas de Radio en Pulso del Fútbol </t>
    </r>
    <r>
      <rPr>
        <b/>
        <sz val="10"/>
        <color rgb="FF000000"/>
        <rFont val="Calibri"/>
        <family val="2"/>
        <scheme val="minor"/>
      </rPr>
      <t>*Programa*</t>
    </r>
  </si>
  <si>
    <t>TROPICANA - VIDEO SECCIONES PLUS</t>
  </si>
  <si>
    <t>RADIOACKTIVA - VIDEO SECCIONES PLUS</t>
  </si>
  <si>
    <t>LOS 40 - VIDEO SECCIONES PLUS</t>
  </si>
  <si>
    <t>N/a</t>
  </si>
  <si>
    <t>Tradicionales, Video Pre Roll, Audio Pre-Mid Roll</t>
  </si>
  <si>
    <t>Tarifa Bruta</t>
  </si>
  <si>
    <t>Días</t>
  </si>
  <si>
    <t>Total Bruto</t>
  </si>
  <si>
    <t>VECES AL DÍA</t>
  </si>
  <si>
    <t>Impactos</t>
  </si>
  <si>
    <t>Dcto</t>
  </si>
  <si>
    <t>Total Neto</t>
  </si>
  <si>
    <t>BRANDED MOMENTS</t>
  </si>
  <si>
    <t>SECCIÓN PRIME</t>
  </si>
  <si>
    <r>
      <rPr>
        <b/>
        <sz val="10"/>
        <color rgb="FF000000"/>
        <rFont val="Calibri"/>
        <family val="2"/>
        <scheme val="minor"/>
      </rPr>
      <t xml:space="preserve">Probando Probando </t>
    </r>
    <r>
      <rPr>
        <sz val="10"/>
        <color rgb="FF000000"/>
        <rFont val="Calibri"/>
        <family val="2"/>
        <scheme val="minor"/>
      </rPr>
      <t xml:space="preserve">- Incluye producción + amplificación con Reel en Tiktok e Instagram + 9 Promos Estándar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(3 en Dos puntos, 3 en Luciérnada y 3 en A Vivir FDS) </t>
    </r>
    <r>
      <rPr>
        <b/>
        <sz val="10"/>
        <color rgb="FF000000"/>
        <rFont val="Calibri"/>
        <family val="2"/>
        <scheme val="minor"/>
      </rPr>
      <t>*Video Corto*</t>
    </r>
  </si>
  <si>
    <r>
      <rPr>
        <b/>
        <sz val="10"/>
        <color rgb="FF000000"/>
        <rFont val="Calibri"/>
        <family val="2"/>
        <scheme val="minor"/>
      </rPr>
      <t>Entendencia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+ 9 Promos Estándar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(3 en Dos puntos, 3 en Luciérnada y 3 en A Vivir FDS) </t>
    </r>
    <r>
      <rPr>
        <b/>
        <sz val="10"/>
        <color rgb="FF000000"/>
        <rFont val="Calibri"/>
        <family val="2"/>
        <scheme val="minor"/>
      </rPr>
      <t>*Video Corto*</t>
    </r>
  </si>
  <si>
    <r>
      <rPr>
        <b/>
        <sz val="10"/>
        <color rgb="FF000000"/>
        <rFont val="Calibri"/>
        <family val="2"/>
        <scheme val="minor"/>
      </rPr>
      <t>Tecnología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+ 9 Promos Estándar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(3 en Dos puntos, 3 en Luciérnada y 3 en A Vivir FDS) </t>
    </r>
    <r>
      <rPr>
        <b/>
        <sz val="10"/>
        <color rgb="FF000000"/>
        <rFont val="Calibri"/>
        <family val="2"/>
        <scheme val="minor"/>
      </rPr>
      <t>*Video Corto*</t>
    </r>
  </si>
  <si>
    <r>
      <rPr>
        <b/>
        <sz val="10"/>
        <color rgb="FF000000"/>
        <rFont val="Calibri"/>
        <family val="2"/>
        <scheme val="minor"/>
      </rPr>
      <t>Check in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+ 9 Promos Estándar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(3 en Dos puntos, 3 en Luciérnada y 3 en A Vivir FDS) </t>
    </r>
    <r>
      <rPr>
        <b/>
        <sz val="10"/>
        <color rgb="FF000000"/>
        <rFont val="Calibri"/>
        <family val="2"/>
        <scheme val="minor"/>
      </rPr>
      <t>*Video Corto*</t>
    </r>
  </si>
  <si>
    <r>
      <rPr>
        <b/>
        <sz val="10"/>
        <color rgb="FF000000"/>
        <rFont val="Calibri"/>
        <family val="2"/>
        <scheme val="minor"/>
      </rPr>
      <t>Plaza Alvira / Bogotá</t>
    </r>
    <r>
      <rPr>
        <sz val="10"/>
        <color rgb="FF000000"/>
        <rFont val="Calibri"/>
        <family val="2"/>
        <scheme val="minor"/>
      </rPr>
      <t xml:space="preserve"> - Incluye producción amplificación con Reel en Tiktok e Instagram + 12 Promos Estándar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(3 en Dos puntos, 3 en Luciérnada, 3 en A Vivir FDS y 3 en Noticiero Media día)  (este formato debe ir siempre con Radio) </t>
    </r>
    <r>
      <rPr>
        <b/>
        <sz val="10"/>
        <color rgb="FF000000"/>
        <rFont val="Calibri"/>
        <family val="2"/>
        <scheme val="minor"/>
      </rPr>
      <t>*Video Corto*</t>
    </r>
  </si>
  <si>
    <t>Tarifas de acuerdo a negociación</t>
  </si>
  <si>
    <r>
      <rPr>
        <b/>
        <sz val="10"/>
        <color rgb="FF000000"/>
        <rFont val="Calibri"/>
        <family val="2"/>
        <scheme val="minor"/>
      </rPr>
      <t>Milonga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+ 4 cuñas de Radio en AS Mundial </t>
    </r>
    <r>
      <rPr>
        <b/>
        <sz val="10"/>
        <color rgb="FF000000"/>
        <rFont val="Calibri"/>
        <family val="2"/>
        <scheme val="minor"/>
      </rPr>
      <t>*Video Largo*</t>
    </r>
  </si>
  <si>
    <r>
      <rPr>
        <b/>
        <sz val="10"/>
        <color rgb="FF000000"/>
        <rFont val="Calibri"/>
        <family val="2"/>
        <scheme val="minor"/>
      </rPr>
      <t>MontoyAS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+ 4 cuñas de Radio en AS Mundial </t>
    </r>
    <r>
      <rPr>
        <b/>
        <sz val="10"/>
        <color rgb="FF000000"/>
        <rFont val="Calibri"/>
        <family val="2"/>
        <scheme val="minor"/>
      </rPr>
      <t>*Video Largo*</t>
    </r>
  </si>
  <si>
    <r>
      <rPr>
        <b/>
        <sz val="10"/>
        <color rgb="FF000000"/>
        <rFont val="Calibri"/>
        <family val="2"/>
        <scheme val="minor"/>
      </rPr>
      <t>La Fuga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+ 4 cuñas de Radio en AS Mundial </t>
    </r>
    <r>
      <rPr>
        <b/>
        <sz val="10"/>
        <color rgb="FF000000"/>
        <rFont val="Calibri"/>
        <family val="2"/>
        <scheme val="minor"/>
      </rPr>
      <t>*Video Largo*</t>
    </r>
  </si>
  <si>
    <t>Piezas a la medida (Redes y/o Display) - 5 en total</t>
  </si>
  <si>
    <t xml:space="preserve">Post </t>
  </si>
  <si>
    <t>Audio Pre Roll (Max 30")</t>
  </si>
  <si>
    <t>Desktop &amp; Mobile - Formatos por 24 horas sujetos a disponibilidad</t>
  </si>
  <si>
    <r>
      <t>Formatos a la medida del anunciante - Todos los videos deben ser coordinados y aprobados por Producto comercial digital -</t>
    </r>
    <r>
      <rPr>
        <b/>
        <sz val="8"/>
        <color rgb="FF000000"/>
        <rFont val="Calibri"/>
        <family val="2"/>
        <scheme val="minor"/>
      </rPr>
      <t xml:space="preserve"> Los 40 NO aplica descuento</t>
    </r>
  </si>
  <si>
    <t>FORMATOS DE AMPLIFICACIÓN / TARIFAS BRUTAS - VER POLÍTICA COMERCIAL PARA APLICAR DESCUENTOS</t>
  </si>
  <si>
    <r>
      <rPr>
        <b/>
        <sz val="10"/>
        <color rgb="FF000000"/>
        <rFont val="Calibri"/>
        <family val="2"/>
        <scheme val="minor"/>
      </rPr>
      <t>Latido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+ 4 cuñas de Radio en AS Mundial </t>
    </r>
    <r>
      <rPr>
        <b/>
        <sz val="10"/>
        <color rgb="FF000000"/>
        <rFont val="Calibri"/>
        <family val="2"/>
        <scheme val="minor"/>
      </rPr>
      <t>*Video Largo*</t>
    </r>
  </si>
  <si>
    <r>
      <t xml:space="preserve">Registro Fotográfico </t>
    </r>
    <r>
      <rPr>
        <b/>
        <sz val="10"/>
        <color rgb="FF000000"/>
        <rFont val="Calibri"/>
        <family val="2"/>
        <scheme val="minor"/>
      </rPr>
      <t>Local</t>
    </r>
    <r>
      <rPr>
        <sz val="10"/>
        <color rgb="FF000000"/>
        <rFont val="Calibri"/>
        <family val="2"/>
        <scheme val="minor"/>
      </rPr>
      <t xml:space="preserve"> en FB - IG - Se publica en Carrusel</t>
    </r>
  </si>
  <si>
    <r>
      <t xml:space="preserve">Registro Fotográfico </t>
    </r>
    <r>
      <rPr>
        <b/>
        <sz val="10"/>
        <color rgb="FF000000"/>
        <rFont val="Calibri"/>
        <family val="2"/>
        <scheme val="minor"/>
      </rPr>
      <t>Nacional</t>
    </r>
    <r>
      <rPr>
        <sz val="10"/>
        <color rgb="FF000000"/>
        <rFont val="Calibri"/>
        <family val="2"/>
        <scheme val="minor"/>
      </rPr>
      <t xml:space="preserve"> + FB - IG  - Se publica en Carrusel</t>
    </r>
  </si>
  <si>
    <t>Formatos a la medida - Validar con producto comercial el tiempo de producción</t>
  </si>
  <si>
    <t>MUSICALES</t>
  </si>
  <si>
    <r>
      <t xml:space="preserve">Desktop &amp; Mobile - Formatos por impresiones - </t>
    </r>
    <r>
      <rPr>
        <b/>
        <sz val="10"/>
        <color rgb="FF000000"/>
        <rFont val="Calibri"/>
        <family val="2"/>
        <scheme val="minor"/>
      </rPr>
      <t>Formatos Geo y Spreaker  no aplica descuento.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</si>
  <si>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Cubrimiento Local</t>
    </r>
    <r>
      <rPr>
        <sz val="10"/>
        <color rgb="FF000000"/>
        <rFont val="Calibri"/>
        <family val="2"/>
        <scheme val="minor"/>
      </rPr>
      <t xml:space="preserve"> (Max 10 minutos) + Reel en IG y Tiktok </t>
    </r>
    <r>
      <rPr>
        <b/>
        <sz val="10"/>
        <color rgb="FF000000"/>
        <rFont val="Calibri"/>
        <family val="2"/>
        <scheme val="minor"/>
      </rPr>
      <t>local</t>
    </r>
    <r>
      <rPr>
        <sz val="10"/>
        <color rgb="FF000000"/>
        <rFont val="Calibri"/>
        <family val="2"/>
        <scheme val="minor"/>
      </rPr>
      <t xml:space="preserve"> / </t>
    </r>
    <r>
      <rPr>
        <b/>
        <sz val="10"/>
        <color rgb="FF000000"/>
        <rFont val="Calibri"/>
        <family val="2"/>
        <scheme val="minor"/>
      </rPr>
      <t>Video Largo</t>
    </r>
    <r>
      <rPr>
        <sz val="10"/>
        <color rgb="FF000000"/>
        <rFont val="Calibri"/>
        <family val="2"/>
        <scheme val="minor"/>
      </rPr>
      <t>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</si>
  <si>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Cubrimiento</t>
    </r>
    <r>
      <rPr>
        <sz val="10"/>
        <color rgb="FF000000"/>
        <rFont val="Calibri"/>
        <family val="2"/>
        <scheme val="minor"/>
      </rPr>
      <t xml:space="preserve"> (Max 10 minutos) + Reel en IG y Tiktok / </t>
    </r>
    <r>
      <rPr>
        <b/>
        <sz val="10"/>
        <color rgb="FF000000"/>
        <rFont val="Calibri"/>
        <family val="2"/>
        <scheme val="minor"/>
      </rPr>
      <t>Video Largo*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</si>
  <si>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Luciérnaga</t>
    </r>
    <r>
      <rPr>
        <sz val="10"/>
        <color rgb="FF000000"/>
        <rFont val="Calibri"/>
        <family val="2"/>
        <scheme val="minor"/>
      </rPr>
      <t xml:space="preserve"> + Reel en IG y Tiktok + Sección en Radio (momento) - Incluye Producción con </t>
    </r>
    <r>
      <rPr>
        <b/>
        <sz val="10"/>
        <color rgb="FF000000"/>
        <rFont val="Calibri"/>
        <family val="2"/>
        <scheme val="minor"/>
      </rPr>
      <t>Product Placement</t>
    </r>
    <r>
      <rPr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Calibri"/>
        <family val="2"/>
        <scheme val="minor"/>
      </rPr>
      <t>Programa*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</si>
  <si>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El Pulso, Dos Puntos, Hora 20, La Polémica, AS Mundial</t>
    </r>
    <r>
      <rPr>
        <sz val="10"/>
        <color rgb="FF000000"/>
        <rFont val="Calibri"/>
        <family val="2"/>
        <scheme val="minor"/>
      </rPr>
      <t xml:space="preserve"> + Reel en IG y Tiktok + Sección en Radio (momento) - Incluye Producción con </t>
    </r>
    <r>
      <rPr>
        <b/>
        <sz val="10"/>
        <color rgb="FF000000"/>
        <rFont val="Calibri"/>
        <family val="2"/>
        <scheme val="minor"/>
      </rPr>
      <t>Product Placement</t>
    </r>
    <r>
      <rPr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</si>
  <si>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Noticiero 6am W</t>
    </r>
    <r>
      <rPr>
        <sz val="10"/>
        <color rgb="FF000000"/>
        <rFont val="Calibri"/>
        <family val="2"/>
        <scheme val="minor"/>
      </rPr>
      <t xml:space="preserve"> + Reel en IG y Tiktok + Sección en Radio (momento) - Incluye Producción con </t>
    </r>
    <r>
      <rPr>
        <b/>
        <sz val="10"/>
        <color rgb="FF000000"/>
        <rFont val="Calibri"/>
        <family val="2"/>
        <scheme val="minor"/>
      </rPr>
      <t>Product Placement</t>
    </r>
    <r>
      <rPr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</si>
  <si>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 Local</t>
    </r>
    <r>
      <rPr>
        <sz val="10"/>
        <color rgb="FF000000"/>
        <rFont val="Calibri"/>
        <family val="2"/>
        <scheme val="minor"/>
      </rPr>
      <t xml:space="preserve"> + Reel en IG y Tiktok </t>
    </r>
    <r>
      <rPr>
        <b/>
        <sz val="10"/>
        <color rgb="FF000000"/>
        <rFont val="Calibri"/>
        <family val="2"/>
        <scheme val="minor"/>
      </rPr>
      <t>Local</t>
    </r>
    <r>
      <rPr>
        <sz val="10"/>
        <color rgb="FF000000"/>
        <rFont val="Calibri"/>
        <family val="2"/>
        <scheme val="minor"/>
      </rPr>
      <t xml:space="preserve"> + Sección en Radio </t>
    </r>
    <r>
      <rPr>
        <b/>
        <sz val="10"/>
        <color rgb="FF000000"/>
        <rFont val="Calibri"/>
        <family val="2"/>
        <scheme val="minor"/>
      </rPr>
      <t>local</t>
    </r>
    <r>
      <rPr>
        <sz val="10"/>
        <color rgb="FF000000"/>
        <rFont val="Calibri"/>
        <family val="2"/>
        <scheme val="minor"/>
      </rPr>
      <t xml:space="preserve"> - Incluye Producción con </t>
    </r>
    <r>
      <rPr>
        <b/>
        <sz val="10"/>
        <color rgb="FF000000"/>
        <rFont val="Calibri"/>
        <family val="2"/>
        <scheme val="minor"/>
      </rPr>
      <t>Product Placement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con interacción</t>
    </r>
    <r>
      <rPr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Calibri"/>
        <family val="2"/>
        <scheme val="minor"/>
      </rPr>
      <t>Programa*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</si>
  <si>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 Local</t>
    </r>
    <r>
      <rPr>
        <sz val="10"/>
        <color rgb="FF000000"/>
        <rFont val="Calibri"/>
        <family val="2"/>
        <scheme val="minor"/>
      </rPr>
      <t xml:space="preserve"> + Reel en IG y Tiktok </t>
    </r>
    <r>
      <rPr>
        <b/>
        <sz val="10"/>
        <color rgb="FF000000"/>
        <rFont val="Calibri"/>
        <family val="2"/>
        <scheme val="minor"/>
      </rPr>
      <t>Local</t>
    </r>
    <r>
      <rPr>
        <sz val="10"/>
        <color rgb="FF000000"/>
        <rFont val="Calibri"/>
        <family val="2"/>
        <scheme val="minor"/>
      </rPr>
      <t xml:space="preserve"> + Sección en Radio </t>
    </r>
    <r>
      <rPr>
        <b/>
        <sz val="10"/>
        <color rgb="FF000000"/>
        <rFont val="Calibri"/>
        <family val="2"/>
        <scheme val="minor"/>
      </rPr>
      <t>local</t>
    </r>
    <r>
      <rPr>
        <sz val="10"/>
        <color rgb="FF000000"/>
        <rFont val="Calibri"/>
        <family val="2"/>
        <scheme val="minor"/>
      </rPr>
      <t xml:space="preserve"> - Incluye Producción 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</si>
  <si>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+ Reel en IG y Tiktok + Sección en Radio - Incluye Producción con </t>
    </r>
    <r>
      <rPr>
        <b/>
        <sz val="10"/>
        <color rgb="FF000000"/>
        <rFont val="Calibri"/>
        <family val="2"/>
        <scheme val="minor"/>
      </rPr>
      <t>Product Placement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con interacción</t>
    </r>
    <r>
      <rPr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</si>
  <si>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+ Reel en IG y Tiktok + Sección en Radio - Incluye Producción con </t>
    </r>
    <r>
      <rPr>
        <b/>
        <sz val="10"/>
        <color rgb="FF000000"/>
        <rFont val="Calibri"/>
        <family val="2"/>
        <scheme val="minor"/>
      </rPr>
      <t>Product Placement - Programa*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</si>
  <si>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+ Reel en IG y Tiktok + Sección en Radio - Incluye Producción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</si>
  <si>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Corto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2 talentos</t>
    </r>
    <r>
      <rPr>
        <sz val="10"/>
        <color rgb="FF000000"/>
        <rFont val="Calibri"/>
        <family val="2"/>
        <scheme val="minor"/>
      </rPr>
      <t xml:space="preserve"> + Reel en IG y Tiktok - Incluye Producción - </t>
    </r>
    <r>
      <rPr>
        <b/>
        <sz val="10"/>
        <color rgb="FF000000"/>
        <rFont val="Calibri"/>
        <family val="2"/>
        <scheme val="minor"/>
      </rPr>
      <t>Video Corto*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</si>
  <si>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Corto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3 talentos</t>
    </r>
    <r>
      <rPr>
        <sz val="10"/>
        <color rgb="FF000000"/>
        <rFont val="Calibri"/>
        <family val="2"/>
        <scheme val="minor"/>
      </rPr>
      <t xml:space="preserve"> + Reel en IG y Tiktok - Incluye Producción - </t>
    </r>
    <r>
      <rPr>
        <b/>
        <sz val="10"/>
        <color rgb="FF000000"/>
        <rFont val="Calibri"/>
        <family val="2"/>
        <scheme val="minor"/>
      </rPr>
      <t>Video Corto*</t>
    </r>
  </si>
  <si>
    <r>
      <t xml:space="preserve">Ráfagas (3 en total) - </t>
    </r>
    <r>
      <rPr>
        <b/>
        <sz val="10"/>
        <color rgb="FF000000"/>
        <rFont val="Calibri"/>
        <family val="2"/>
        <scheme val="minor"/>
      </rPr>
      <t>Video Corto*</t>
    </r>
  </si>
  <si>
    <r>
      <t xml:space="preserve">Reel - </t>
    </r>
    <r>
      <rPr>
        <b/>
        <sz val="10"/>
        <color rgb="FF000000"/>
        <rFont val="Calibri"/>
        <family val="2"/>
        <scheme val="minor"/>
      </rPr>
      <t>Video Corto*</t>
    </r>
  </si>
  <si>
    <r>
      <t xml:space="preserve">Reel (solo producido por Prisa Media) - </t>
    </r>
    <r>
      <rPr>
        <b/>
        <sz val="10"/>
        <color rgb="FF000000"/>
        <rFont val="Calibri"/>
        <family val="2"/>
        <scheme val="minor"/>
      </rPr>
      <t>Video Corto</t>
    </r>
    <r>
      <rPr>
        <sz val="10"/>
        <color rgb="FF000000"/>
        <rFont val="Calibri"/>
        <family val="2"/>
        <scheme val="minor"/>
      </rPr>
      <t>*</t>
    </r>
  </si>
  <si>
    <r>
      <t xml:space="preserve">Video (solo producido por Prisa Media) </t>
    </r>
    <r>
      <rPr>
        <b/>
        <sz val="10"/>
        <color rgb="FF000000"/>
        <rFont val="Calibri"/>
        <family val="2"/>
        <scheme val="minor"/>
      </rPr>
      <t>Video Largo</t>
    </r>
    <r>
      <rPr>
        <sz val="10"/>
        <color rgb="FF000000"/>
        <rFont val="Calibri"/>
        <family val="2"/>
        <scheme val="minor"/>
      </rPr>
      <t>*</t>
    </r>
  </si>
  <si>
    <r>
      <t xml:space="preserve">Shorts (3 minutos máx) Formato Vertical - </t>
    </r>
    <r>
      <rPr>
        <b/>
        <sz val="10"/>
        <color rgb="FF000000"/>
        <rFont val="Calibri"/>
        <family val="2"/>
        <scheme val="minor"/>
      </rPr>
      <t>Video Corto</t>
    </r>
    <r>
      <rPr>
        <sz val="10"/>
        <color rgb="FF000000"/>
        <rFont val="Calibri"/>
        <family val="2"/>
        <scheme val="minor"/>
      </rPr>
      <t>*</t>
    </r>
  </si>
  <si>
    <r>
      <t xml:space="preserve">Historia - </t>
    </r>
    <r>
      <rPr>
        <b/>
        <sz val="10"/>
        <color rgb="FF000000"/>
        <rFont val="Calibri"/>
        <family val="2"/>
        <scheme val="minor"/>
      </rPr>
      <t>Video Corto*</t>
    </r>
  </si>
  <si>
    <r>
      <t xml:space="preserve">Instagram - Facebook Reel - </t>
    </r>
    <r>
      <rPr>
        <b/>
        <sz val="10"/>
        <color rgb="FF000000"/>
        <rFont val="Calibri"/>
        <family val="2"/>
        <scheme val="minor"/>
      </rPr>
      <t>Video Corto*</t>
    </r>
  </si>
  <si>
    <r>
      <t xml:space="preserve">Instagram - Historia - </t>
    </r>
    <r>
      <rPr>
        <b/>
        <sz val="10"/>
        <color rgb="FF000000"/>
        <rFont val="Calibri"/>
        <family val="2"/>
        <scheme val="minor"/>
      </rPr>
      <t>Video Corto*</t>
    </r>
  </si>
  <si>
    <r>
      <t xml:space="preserve">Tiktok Reel (Videos producidos por Prisa Media) - </t>
    </r>
    <r>
      <rPr>
        <b/>
        <sz val="10"/>
        <color rgb="FF000000"/>
        <rFont val="Calibri"/>
        <family val="2"/>
        <scheme val="minor"/>
      </rPr>
      <t>Video Corto*</t>
    </r>
  </si>
  <si>
    <r>
      <t xml:space="preserve">Ráfagas - </t>
    </r>
    <r>
      <rPr>
        <b/>
        <sz val="10"/>
        <color rgb="FF000000"/>
        <rFont val="Calibri"/>
        <family val="2"/>
        <scheme val="minor"/>
      </rPr>
      <t>Video Corto*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</si>
  <si>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Corto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 xml:space="preserve">1 talento </t>
    </r>
    <r>
      <rPr>
        <sz val="10"/>
        <color rgb="FF000000"/>
        <rFont val="Calibri"/>
        <family val="2"/>
        <scheme val="minor"/>
      </rPr>
      <t xml:space="preserve">comercial + Reel en IG y Tiktok - Incluye Producción - </t>
    </r>
    <r>
      <rPr>
        <b/>
        <sz val="10"/>
        <color rgb="FF000000"/>
        <rFont val="Calibri"/>
        <family val="2"/>
        <scheme val="minor"/>
      </rPr>
      <t>Video Corto*</t>
    </r>
  </si>
  <si>
    <t>PLAZA ALVIRA CARACOL</t>
  </si>
  <si>
    <t>PROGRAMACIÓN MUSICAL</t>
  </si>
  <si>
    <t>HISTORIA DE CACHOS BÉSAME</t>
  </si>
  <si>
    <t>MECHISMES BÉSAME</t>
  </si>
  <si>
    <t>LAS EXTRAORDINARIAS TROPICANA</t>
  </si>
  <si>
    <t>HISTORIA FACEBOOK</t>
  </si>
  <si>
    <t>LA OTRA ENTREVISTA TROPICANA</t>
  </si>
  <si>
    <t>CHICAS EN SU SALSA TROPICANA</t>
  </si>
  <si>
    <t>ENTRE VALIENTES TROPICANA</t>
  </si>
  <si>
    <t>EL PULSO</t>
  </si>
  <si>
    <t>LA POLÉMICA CARACOL</t>
  </si>
  <si>
    <t>EL VBAR CARACOL</t>
  </si>
  <si>
    <t>EL VBAR FDS</t>
  </si>
  <si>
    <t>EL PULSO CARACOL</t>
  </si>
  <si>
    <t>AS MUNDIAL CARACOL</t>
  </si>
  <si>
    <t>TARIFAS BRUTAS</t>
  </si>
  <si>
    <r>
      <t xml:space="preserve">Video </t>
    </r>
    <r>
      <rPr>
        <b/>
        <sz val="10"/>
        <color rgb="FF000000"/>
        <rFont val="Calibri"/>
        <family val="2"/>
        <scheme val="minor"/>
      </rPr>
      <t>Remoto</t>
    </r>
    <r>
      <rPr>
        <sz val="10"/>
        <color rgb="FF000000"/>
        <rFont val="Calibri"/>
        <family val="2"/>
        <scheme val="minor"/>
      </rPr>
      <t xml:space="preserve"> Medellín (Radio-Digital) - </t>
    </r>
    <r>
      <rPr>
        <b/>
        <sz val="10"/>
        <color rgb="FF000000"/>
        <rFont val="Calibri"/>
        <family val="2"/>
        <scheme val="minor"/>
      </rPr>
      <t>Video Corto</t>
    </r>
    <r>
      <rPr>
        <sz val="10"/>
        <color rgb="FF000000"/>
        <rFont val="Calibri"/>
        <family val="2"/>
        <scheme val="minor"/>
      </rPr>
      <t>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</si>
  <si>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Remoto</t>
    </r>
    <r>
      <rPr>
        <sz val="10"/>
        <color rgb="FF000000"/>
        <rFont val="Calibri"/>
        <family val="2"/>
        <scheme val="minor"/>
      </rPr>
      <t xml:space="preserve"> Cali (Radio-Digital) - </t>
    </r>
    <r>
      <rPr>
        <b/>
        <sz val="10"/>
        <color rgb="FF000000"/>
        <rFont val="Calibri"/>
        <family val="2"/>
        <scheme val="minor"/>
      </rPr>
      <t>Video Corto</t>
    </r>
    <r>
      <rPr>
        <sz val="10"/>
        <color rgb="FF000000"/>
        <rFont val="Calibri"/>
        <family val="2"/>
        <scheme val="minor"/>
      </rPr>
      <t>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</si>
  <si>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Remoto</t>
    </r>
    <r>
      <rPr>
        <sz val="10"/>
        <color rgb="FF000000"/>
        <rFont val="Calibri"/>
        <family val="2"/>
        <scheme val="minor"/>
      </rPr>
      <t xml:space="preserve"> Bogotá (Radio-Digital) - </t>
    </r>
    <r>
      <rPr>
        <b/>
        <sz val="10"/>
        <color rgb="FF000000"/>
        <rFont val="Calibri"/>
        <family val="2"/>
        <scheme val="minor"/>
      </rPr>
      <t>Video Corto</t>
    </r>
    <r>
      <rPr>
        <sz val="10"/>
        <color rgb="FF000000"/>
        <rFont val="Calibri"/>
        <family val="2"/>
        <scheme val="minor"/>
      </rPr>
      <t>*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</si>
  <si>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Remoto</t>
    </r>
    <r>
      <rPr>
        <sz val="10"/>
        <color rgb="FF000000"/>
        <rFont val="Calibri"/>
        <family val="2"/>
        <scheme val="minor"/>
      </rPr>
      <t xml:space="preserve"> Barranquilla (Radio-Digital) - </t>
    </r>
    <r>
      <rPr>
        <b/>
        <sz val="10"/>
        <color rgb="FF000000"/>
        <rFont val="Calibri"/>
        <family val="2"/>
        <scheme val="minor"/>
      </rPr>
      <t>Video Corto</t>
    </r>
    <r>
      <rPr>
        <sz val="10"/>
        <color rgb="FF000000"/>
        <rFont val="Calibri"/>
        <family val="2"/>
        <scheme val="minor"/>
      </rPr>
      <t>*</t>
    </r>
  </si>
  <si>
    <r>
      <rPr>
        <b/>
        <sz val="10"/>
        <color rgb="FF000000"/>
        <rFont val="Calibri"/>
        <family val="2"/>
        <scheme val="minor"/>
      </rPr>
      <t>Branded Moments</t>
    </r>
    <r>
      <rPr>
        <sz val="10"/>
        <color rgb="FF000000"/>
        <rFont val="Calibri"/>
        <family val="2"/>
        <scheme val="minor"/>
      </rPr>
      <t xml:space="preserve"> (Animados breaks o brandeo cabina o Product Placement) Formatos por separado (3 salidas al día, mínimo 11 días al mes)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</si>
  <si>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t>Los formatos de Video *Locales*  aplican para ciudades tipo B y C</t>
  </si>
  <si>
    <t>FORMATOS PROMEDIO POR SALIDA - OBJETIVO: REPRODUCCIONES</t>
  </si>
  <si>
    <t xml:space="preserve">Audiencias Extendidas (Geolocalización) </t>
  </si>
  <si>
    <t>FORMATOS PROMEDIO POR SALIDA: OBJETIVO: IMPRESIONES / PÁGINAS VISTAS</t>
  </si>
  <si>
    <t>LOS 40 - VIDEO CORTO RRSS IMPRESENTABLES (3 TALENTOS)</t>
  </si>
  <si>
    <r>
      <t xml:space="preserve">LOS 40 - VIDEO CORTO RRSS 2 TALENTOS </t>
    </r>
    <r>
      <rPr>
        <b/>
        <sz val="11"/>
        <color rgb="FFFFFFFF"/>
        <rFont val="Arial"/>
        <family val="2"/>
      </rPr>
      <t>(ROBERTO CARDONA O PIPE FLOREZ)</t>
    </r>
  </si>
  <si>
    <r>
      <t xml:space="preserve">LOS 40 - VIDEO CORTO RRSS 1 SOLO TALENTO </t>
    </r>
    <r>
      <rPr>
        <b/>
        <sz val="11"/>
        <color rgb="FFFFFFFF"/>
        <rFont val="Arial"/>
        <family val="2"/>
      </rPr>
      <t>(ROBERTO CARDONA O PIPE FLOREZ)</t>
    </r>
  </si>
  <si>
    <t>LOS 40 - VIDEO CORTO RRSS  (Talento sujeto a disponibilidad - NO es Impresentable)</t>
  </si>
  <si>
    <t>RADIOACKTIVA - VIDEO CORTO RRSS - 1 TALENTO BOGOTÁ</t>
  </si>
  <si>
    <t>RADIOACKTIVA - VIDEO CORTO RRSS 2 TALENTOS BOGOTÁ</t>
  </si>
  <si>
    <t>RADIOACKTIVA - VIDEO CORTO RRSS 3 TALENTOS BOGOTÁ</t>
  </si>
  <si>
    <t>TROPICANA - VIDEO CORTO RRSS - 1 TALENTO BOGOTÁ</t>
  </si>
  <si>
    <t>TROPICANA - VIDEO CORTO RRSS 2 TALENTOS BOGOTÁ</t>
  </si>
  <si>
    <t>TROPICANA - VIDEO CORTO RRSS 3 TALENTOS BOGOTÁ</t>
  </si>
  <si>
    <t>BÉSAME - VIDEO CORTO RRSS - 1 TALENTO BOGOTÁ</t>
  </si>
  <si>
    <t>BÉSAME - VIDEO CORTO RRSS 2 TALENTOS BOGOTÁ</t>
  </si>
  <si>
    <t>BÉSAME - VIDEO CORTO RRSS 3 TALENTOS BOGOTÁ</t>
  </si>
  <si>
    <t>CARACOL - VIDEO CORTO</t>
  </si>
  <si>
    <t>Patrocinio Podcast (Spreaker) - Se compra por CPM Colombia</t>
  </si>
  <si>
    <t xml:space="preserve">Se recomienda tener un mínimo de 100.000 impresiones en 7 días para campañas de poca duración. Importante revisar el inventario disponible en los diferentes formatos. </t>
  </si>
  <si>
    <t>A la medida</t>
  </si>
  <si>
    <r>
      <t xml:space="preserve">Live </t>
    </r>
    <r>
      <rPr>
        <b/>
        <sz val="10"/>
        <color rgb="FF000000"/>
        <rFont val="Calibri"/>
        <family val="2"/>
        <scheme val="minor"/>
      </rPr>
      <t>*Video Largo</t>
    </r>
    <r>
      <rPr>
        <sz val="10"/>
        <color rgb="FF000000"/>
        <rFont val="Calibri"/>
        <family val="2"/>
        <scheme val="minor"/>
      </rPr>
      <t xml:space="preserve"> (Consultar con Producto)</t>
    </r>
  </si>
  <si>
    <r>
      <t xml:space="preserve">Live / Streaming </t>
    </r>
    <r>
      <rPr>
        <b/>
        <sz val="10"/>
        <color rgb="FF000000"/>
        <rFont val="Calibri"/>
        <family val="2"/>
        <scheme val="minor"/>
      </rPr>
      <t>*Video Largo</t>
    </r>
    <r>
      <rPr>
        <sz val="10"/>
        <color rgb="FF000000"/>
        <rFont val="Calibri"/>
        <family val="2"/>
        <scheme val="minor"/>
      </rPr>
      <t xml:space="preserve"> (Consultar con Producto)</t>
    </r>
  </si>
  <si>
    <r>
      <t xml:space="preserve">Video </t>
    </r>
    <r>
      <rPr>
        <b/>
        <sz val="10"/>
        <color rgb="FF000000"/>
        <rFont val="Calibri"/>
        <family val="2"/>
        <scheme val="minor"/>
      </rPr>
      <t>Corto *Local*</t>
    </r>
    <r>
      <rPr>
        <sz val="10"/>
        <color rgb="FF000000"/>
        <rFont val="Calibri"/>
        <family val="2"/>
        <scheme val="minor"/>
      </rPr>
      <t xml:space="preserve"> con 1 talento comercial </t>
    </r>
    <r>
      <rPr>
        <b/>
        <sz val="10"/>
        <color rgb="FF000000"/>
        <rFont val="Calibri"/>
        <family val="2"/>
        <scheme val="minor"/>
      </rPr>
      <t>local</t>
    </r>
    <r>
      <rPr>
        <sz val="10"/>
        <color rgb="FF000000"/>
        <rFont val="Calibri"/>
        <family val="2"/>
        <scheme val="minor"/>
      </rPr>
      <t xml:space="preserve"> + Reel en IG y Tiktok *</t>
    </r>
    <r>
      <rPr>
        <b/>
        <sz val="10"/>
        <color rgb="FF000000"/>
        <rFont val="Calibri"/>
        <family val="2"/>
        <scheme val="minor"/>
      </rPr>
      <t>Local*</t>
    </r>
    <r>
      <rPr>
        <sz val="10"/>
        <color rgb="FF000000"/>
        <rFont val="Calibri"/>
        <family val="2"/>
        <scheme val="minor"/>
      </rPr>
      <t xml:space="preserve"> - Incluye Producción - </t>
    </r>
    <r>
      <rPr>
        <b/>
        <sz val="10"/>
        <color rgb="FF000000"/>
        <rFont val="Calibri"/>
        <family val="2"/>
        <scheme val="minor"/>
      </rPr>
      <t>Video Corto</t>
    </r>
    <r>
      <rPr>
        <sz val="10"/>
        <color rgb="FF000000"/>
        <rFont val="Calibri"/>
        <family val="2"/>
        <scheme val="minor"/>
      </rPr>
      <t>* (No aplica para ciudades Principales)</t>
    </r>
  </si>
  <si>
    <r>
      <t xml:space="preserve">Video Historias </t>
    </r>
    <r>
      <rPr>
        <b/>
        <sz val="10"/>
        <color rgb="FF000000"/>
        <rFont val="Calibri"/>
        <family val="2"/>
        <scheme val="minor"/>
      </rPr>
      <t>*Local*</t>
    </r>
    <r>
      <rPr>
        <sz val="10"/>
        <color rgb="FF000000"/>
        <rFont val="Calibri"/>
        <family val="2"/>
        <scheme val="minor"/>
      </rPr>
      <t xml:space="preserve"> con 1 talento comercial </t>
    </r>
    <r>
      <rPr>
        <b/>
        <sz val="10"/>
        <color rgb="FF000000"/>
        <rFont val="Calibri"/>
        <family val="2"/>
        <scheme val="minor"/>
      </rPr>
      <t>local</t>
    </r>
    <r>
      <rPr>
        <sz val="10"/>
        <color rgb="FF000000"/>
        <rFont val="Calibri"/>
        <family val="2"/>
        <scheme val="minor"/>
      </rPr>
      <t xml:space="preserve"> + Historia en IG *</t>
    </r>
    <r>
      <rPr>
        <b/>
        <sz val="10"/>
        <color rgb="FF000000"/>
        <rFont val="Calibri"/>
        <family val="2"/>
        <scheme val="minor"/>
      </rPr>
      <t>Local*</t>
    </r>
    <r>
      <rPr>
        <sz val="10"/>
        <color rgb="FF000000"/>
        <rFont val="Calibri"/>
        <family val="2"/>
        <scheme val="minor"/>
      </rPr>
      <t xml:space="preserve"> - Incluye Producción - </t>
    </r>
    <r>
      <rPr>
        <b/>
        <sz val="10"/>
        <color rgb="FF000000"/>
        <rFont val="Calibri"/>
        <family val="2"/>
        <scheme val="minor"/>
      </rPr>
      <t>Video Corto</t>
    </r>
    <r>
      <rPr>
        <sz val="10"/>
        <color rgb="FF000000"/>
        <rFont val="Calibri"/>
        <family val="2"/>
        <scheme val="minor"/>
      </rPr>
      <t>*  (No aplica para ciudades Principales)</t>
    </r>
  </si>
  <si>
    <r>
      <t xml:space="preserve"> </t>
    </r>
    <r>
      <rPr>
        <b/>
        <sz val="10"/>
        <color rgb="FF000000"/>
        <rFont val="Calibri"/>
        <family val="2"/>
        <scheme val="minor"/>
      </rPr>
      <t>Sección Prime</t>
    </r>
    <r>
      <rPr>
        <sz val="10"/>
        <color rgb="FF000000"/>
        <rFont val="Calibri"/>
        <family val="2"/>
        <scheme val="minor"/>
      </rPr>
      <t xml:space="preserve"> (Video) En vivo (Mención + Banner y Full Screen) Youtube y Tiktok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</si>
  <si>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r>
      <t xml:space="preserve">Estrategías - </t>
    </r>
    <r>
      <rPr>
        <b/>
        <sz val="10"/>
        <color rgb="FF000000"/>
        <rFont val="Calibri"/>
        <family val="2"/>
        <scheme val="minor"/>
      </rPr>
      <t>Whatsapp</t>
    </r>
  </si>
  <si>
    <t>AS - VIDEO CORTO</t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</si>
  <si>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Rock &amp; gol del AS / Banqueados  / Rock &amp; Gol del AS Transmisión FDS</t>
    </r>
    <r>
      <rPr>
        <sz val="10"/>
        <color rgb="FF000000"/>
        <rFont val="Calibri"/>
        <family val="2"/>
        <scheme val="minor"/>
      </rPr>
      <t xml:space="preserve"> + Reel en IG y Tiktok + Sección en Radio - Incluye Producción con </t>
    </r>
    <r>
      <rPr>
        <b/>
        <sz val="10"/>
        <color rgb="FF000000"/>
        <rFont val="Calibri"/>
        <family val="2"/>
        <scheme val="minor"/>
      </rPr>
      <t>Product Placement</t>
    </r>
    <r>
      <rPr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</si>
  <si>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t>PRODUCT PLACEMENT CON INTERACCIÓN</t>
  </si>
  <si>
    <t>AS - VIDEO SECCIÓN Rock &amp; gol del AS / Banqueados  / Rock &amp; Gol del AS Transmisión FDS</t>
  </si>
  <si>
    <t>AS - VIDEO SECCIÓN La Jugada Bacana</t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</si>
  <si>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La Jugaba Bacana</t>
    </r>
    <r>
      <rPr>
        <sz val="10"/>
        <color rgb="FF000000"/>
        <rFont val="Calibri"/>
        <family val="2"/>
        <scheme val="minor"/>
      </rPr>
      <t xml:space="preserve"> + Reel en IG y Tiktok + Sección en Radio - Incluye Producción con </t>
    </r>
    <r>
      <rPr>
        <b/>
        <sz val="10"/>
        <color rgb="FF000000"/>
        <rFont val="Calibri"/>
        <family val="2"/>
        <scheme val="minor"/>
      </rPr>
      <t>Product Placement</t>
    </r>
    <r>
      <rPr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</si>
  <si>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t>AS - VIDEO SECCIÓN MontoyAS / La Fuga</t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</si>
  <si>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MontoyAS / La Fuga</t>
    </r>
    <r>
      <rPr>
        <sz val="10"/>
        <color rgb="FF000000"/>
        <rFont val="Calibri"/>
        <family val="2"/>
        <scheme val="minor"/>
      </rPr>
      <t xml:space="preserve"> + Reel en IG y Tiktok + Sección en Radio - Incluye Producción con </t>
    </r>
    <r>
      <rPr>
        <b/>
        <sz val="10"/>
        <color rgb="FF000000"/>
        <rFont val="Calibri"/>
        <family val="2"/>
        <scheme val="minor"/>
      </rPr>
      <t>Product Placement</t>
    </r>
    <r>
      <rPr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</si>
  <si>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t>MOMENTO FIN DE SEMANA / El Vbar</t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</si>
  <si>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>Fin de Semana / El VBar</t>
    </r>
    <r>
      <rPr>
        <sz val="10"/>
        <color rgb="FF000000"/>
        <rFont val="Calibri"/>
        <family val="2"/>
        <scheme val="minor"/>
      </rPr>
      <t xml:space="preserve"> + Reel en IG y Tiktok + Sección en Radio (momento) - Incluye Producción con </t>
    </r>
    <r>
      <rPr>
        <b/>
        <sz val="10"/>
        <color rgb="FF000000"/>
        <rFont val="Calibri"/>
        <family val="2"/>
        <scheme val="minor"/>
      </rPr>
      <t>Product Placement</t>
    </r>
    <r>
      <rPr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</si>
  <si>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t xml:space="preserve">AS VIDEO REMOTO BOGOTÁ: Morning Gol / As Noticias / Milonga / El Vbar / AS Noticias FDS </t>
  </si>
  <si>
    <r>
      <t xml:space="preserve">Video Remoto Bogotá (Radio - Digital) - </t>
    </r>
    <r>
      <rPr>
        <b/>
        <sz val="10"/>
        <color rgb="FF000000"/>
        <rFont val="Calibri"/>
        <family val="2"/>
        <scheme val="minor"/>
      </rPr>
      <t>Morning Gol / As Noticias / Milonga / El Vbar / AS Noticias FDS</t>
    </r>
    <r>
      <rPr>
        <sz val="10"/>
        <color rgb="FF000000"/>
        <rFont val="Calibri"/>
        <family val="2"/>
        <scheme val="minor"/>
      </rPr>
      <t xml:space="preserve">  - </t>
    </r>
    <r>
      <rPr>
        <b/>
        <sz val="10"/>
        <color rgb="FF000000"/>
        <rFont val="Calibri"/>
        <family val="2"/>
        <scheme val="minor"/>
      </rPr>
      <t>Video Corto*</t>
    </r>
  </si>
  <si>
    <t>AS VIDEO REMOTO BOGOTÁ: Rock &amp; Gol del AS / Banqueados / Rock &amp; Gol del AS Transmisión FDS</t>
  </si>
  <si>
    <r>
      <t xml:space="preserve">Video Remoto Bogotá (Radio - Digital) - </t>
    </r>
    <r>
      <rPr>
        <b/>
        <sz val="10"/>
        <color rgb="FF000000"/>
        <rFont val="Calibri"/>
        <family val="2"/>
        <scheme val="minor"/>
      </rPr>
      <t>Rock &amp; Gol del AS / Banqueados / Rock &amp; Gol del AS Transmisión FDS</t>
    </r>
    <r>
      <rPr>
        <sz val="10"/>
        <color rgb="FF000000"/>
        <rFont val="Calibri"/>
        <family val="2"/>
        <scheme val="minor"/>
      </rPr>
      <t xml:space="preserve">  - </t>
    </r>
    <r>
      <rPr>
        <b/>
        <sz val="10"/>
        <color rgb="FF000000"/>
        <rFont val="Calibri"/>
        <family val="2"/>
        <scheme val="minor"/>
      </rPr>
      <t>Video Corto*</t>
    </r>
  </si>
  <si>
    <t>AS VIDEO REMOTO BOGOTÁ: La Jugada Bacana</t>
  </si>
  <si>
    <r>
      <t xml:space="preserve">Video Remoto Bogotá (Radio - Digital) - </t>
    </r>
    <r>
      <rPr>
        <b/>
        <sz val="10"/>
        <color rgb="FF000000"/>
        <rFont val="Calibri"/>
        <family val="2"/>
        <scheme val="minor"/>
      </rPr>
      <t>La Jugada Bacana</t>
    </r>
    <r>
      <rPr>
        <sz val="10"/>
        <color rgb="FF000000"/>
        <rFont val="Calibri"/>
        <family val="2"/>
        <scheme val="minor"/>
      </rPr>
      <t xml:space="preserve">  - </t>
    </r>
    <r>
      <rPr>
        <b/>
        <sz val="10"/>
        <color rgb="FF000000"/>
        <rFont val="Calibri"/>
        <family val="2"/>
        <scheme val="minor"/>
      </rPr>
      <t>Video Corto*</t>
    </r>
  </si>
  <si>
    <r>
      <rPr>
        <b/>
        <sz val="10"/>
        <color rgb="FF000000"/>
        <rFont val="Calibri"/>
        <family val="2"/>
        <scheme val="minor"/>
      </rPr>
      <t>AS: El Albúm / Vidas / Sin Tibiezas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 </t>
    </r>
    <r>
      <rPr>
        <b/>
        <sz val="10"/>
        <color rgb="FF000000"/>
        <rFont val="Calibri"/>
        <family val="2"/>
        <scheme val="minor"/>
      </rPr>
      <t>Video Largo*</t>
    </r>
  </si>
  <si>
    <r>
      <rPr>
        <b/>
        <sz val="10"/>
        <color rgb="FF000000"/>
        <rFont val="Calibri"/>
        <family val="2"/>
        <scheme val="minor"/>
      </rPr>
      <t>AS: Big Data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 </t>
    </r>
    <r>
      <rPr>
        <b/>
        <sz val="10"/>
        <color rgb="FF000000"/>
        <rFont val="Calibri"/>
        <family val="2"/>
        <scheme val="minor"/>
      </rPr>
      <t>Video Corto*</t>
    </r>
  </si>
  <si>
    <t>AS - Big Data</t>
  </si>
  <si>
    <t>AS - El Albúm / Vidas / Sin Tibiezas</t>
  </si>
  <si>
    <t>AS - ES UN HECHO AS</t>
  </si>
  <si>
    <r>
      <t xml:space="preserve">Video </t>
    </r>
    <r>
      <rPr>
        <b/>
        <sz val="10"/>
        <color rgb="FF000000"/>
        <rFont val="Calibri"/>
        <family val="2"/>
        <scheme val="minor"/>
      </rPr>
      <t>Sección</t>
    </r>
    <r>
      <rPr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Calibri"/>
        <family val="2"/>
        <scheme val="minor"/>
      </rPr>
      <t xml:space="preserve">Morning Gol / AS Noticias / Milonga / El Vbar / Latido / As Noticias FDS </t>
    </r>
    <r>
      <rPr>
        <sz val="10"/>
        <color rgb="FF000000"/>
        <rFont val="Calibri"/>
        <family val="2"/>
        <scheme val="minor"/>
      </rPr>
      <t xml:space="preserve"> + Reel en IG y Tiktok + Sección en Radio - Incluye Producción con </t>
    </r>
    <r>
      <rPr>
        <b/>
        <sz val="10"/>
        <color rgb="FF000000"/>
        <rFont val="Calibri"/>
        <family val="2"/>
        <scheme val="minor"/>
      </rPr>
      <t>Product Placement</t>
    </r>
    <r>
      <rPr>
        <sz val="10"/>
        <color rgb="FF000000"/>
        <rFont val="Calibri"/>
        <family val="2"/>
        <scheme val="minor"/>
      </rPr>
      <t xml:space="preserve"> - </t>
    </r>
    <r>
      <rPr>
        <b/>
        <sz val="10"/>
        <color rgb="FF000000"/>
        <rFont val="Calibri"/>
        <family val="2"/>
        <scheme val="minor"/>
      </rPr>
      <t>Programa</t>
    </r>
    <r>
      <rPr>
        <sz val="10"/>
        <color rgb="FF000000"/>
        <rFont val="Calibri"/>
        <family val="2"/>
        <scheme val="minor"/>
      </rPr>
      <t>*</t>
    </r>
  </si>
  <si>
    <t>AS VIDEO SECCIÓN Morning Gol / AS Noticias / Milonga / El Vbar / Latido / As Noticias FDS</t>
  </si>
  <si>
    <t>CARACOL - VIDEO CUBRIMIENTO BOGOTÁ</t>
  </si>
  <si>
    <t>CARACOL - VIDEO CUBRIMIENTO LOCAL</t>
  </si>
  <si>
    <t>CARACOL - REGISTRO FOTOGRÁFICO NACIONAL</t>
  </si>
  <si>
    <t>CARACOL - REGISTRO FOTOGRÁFICO LOCAL</t>
  </si>
  <si>
    <t>POST META</t>
  </si>
  <si>
    <t>POST IG</t>
  </si>
  <si>
    <t xml:space="preserve">PRODUCCIÓN </t>
  </si>
  <si>
    <t>POST IG LOCAL</t>
  </si>
  <si>
    <t>POST META LOCAL</t>
  </si>
  <si>
    <t>CHECK IN CARACOL VIDEO CORTO</t>
  </si>
  <si>
    <t>TECNOLOGÍA CARACOL VIDEO CORTO</t>
  </si>
  <si>
    <t>ENTENDENCIA CARACOL VIDEO CORTO</t>
  </si>
  <si>
    <t>PROBANDO PROBANDO CARACOL VIDEO CORTO</t>
  </si>
  <si>
    <t>PARODIAS LA LUCIÉRNAGA / EL SERMÓN DE FRAILE / EL RADAR DE VILLAR / SE LO EXPLICO CON DATOS / DOBLE CLIC CARACOL VIDEO CORTO</t>
  </si>
  <si>
    <r>
      <t xml:space="preserve">Instagram - Facebook -  Historia - </t>
    </r>
    <r>
      <rPr>
        <b/>
        <sz val="10"/>
        <color rgb="FF000000"/>
        <rFont val="Calibri"/>
        <family val="2"/>
        <scheme val="minor"/>
      </rPr>
      <t>Video Corto*</t>
    </r>
  </si>
  <si>
    <r>
      <t xml:space="preserve">Instagram Ráfagas - </t>
    </r>
    <r>
      <rPr>
        <b/>
        <sz val="10"/>
        <color rgb="FF000000"/>
        <rFont val="Calibri"/>
        <family val="2"/>
        <scheme val="minor"/>
      </rPr>
      <t>Video Corto*</t>
    </r>
  </si>
  <si>
    <t>Instagram Colaboraciones</t>
  </si>
  <si>
    <t>TROPICANA - VIDEO CORTO LOCAL</t>
  </si>
  <si>
    <t>REEL IG LOCAL</t>
  </si>
  <si>
    <t>VIDEO TIK TOK LOCAL</t>
  </si>
  <si>
    <t>TROPICANA - VIDEO HISTORIA LOCAL</t>
  </si>
  <si>
    <t xml:space="preserve">TROPICANA - LOCAL - VIDEO SECCIÓN </t>
  </si>
  <si>
    <t>LOCAL</t>
  </si>
  <si>
    <t>REEL TIKTOK LOCAL</t>
  </si>
  <si>
    <t>TROPICANA - LOCAL - VIDEO SECCIÓN CON PRODUCT PLACEMENT</t>
  </si>
  <si>
    <t>TROPICANA - VIDEO CUBRIMIENTO LOCAL</t>
  </si>
  <si>
    <t>TROPICANA - REGISTRO FOTOGRÁFICO LOCAL</t>
  </si>
  <si>
    <t xml:space="preserve">TROPICANA - VIDEO SECCIONES </t>
  </si>
  <si>
    <t>BÉSAME - VIDEO CORTO LOCAL</t>
  </si>
  <si>
    <t>BÉSAME - VIDEO HISTORIA LOCAL</t>
  </si>
  <si>
    <t xml:space="preserve">BÉSAME - LOCAL - VIDEO SECCIÓN </t>
  </si>
  <si>
    <t>BÉSAME - LOCAL - VIDEO SECCIÓN CON PRODUCT PLACEMENT</t>
  </si>
  <si>
    <t>BÉSAME - VIDEO CUBRIMIENTO LOCAL</t>
  </si>
  <si>
    <t>BÉSAME - REGISTRO FOTOGRÁFICO LOCAL</t>
  </si>
  <si>
    <t xml:space="preserve">BÉSAME </t>
  </si>
  <si>
    <t>RADIOACKTIVA - VIDEO CORTO LOCAL</t>
  </si>
  <si>
    <t>RADIOACKTIVA - VIDEO HISTORIA LOCAL</t>
  </si>
  <si>
    <t xml:space="preserve">RADIOACKTIVA </t>
  </si>
  <si>
    <t xml:space="preserve">RADIOACKTIVA - LOCAL - VIDEO SECCIÓN </t>
  </si>
  <si>
    <t>RADIOACKTIVA - LOCAL - VIDEO SECCIÓN CON PRODUCT PLACEMENT</t>
  </si>
  <si>
    <r>
      <rPr>
        <b/>
        <sz val="10"/>
        <color rgb="FF000000"/>
        <rFont val="Calibri"/>
        <family val="2"/>
        <scheme val="minor"/>
      </rPr>
      <t xml:space="preserve">Caracol - Probando Probando </t>
    </r>
    <r>
      <rPr>
        <sz val="10"/>
        <color rgb="FF000000"/>
        <rFont val="Calibri"/>
        <family val="2"/>
        <scheme val="minor"/>
      </rPr>
      <t xml:space="preserve">- Incluye producción + amplificación con Reel en Tiktok e Instagram + 9 Promos Estándar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(3 en Dos puntos, 3 en Luciérnada y 3 en A Vivir FDS) </t>
    </r>
    <r>
      <rPr>
        <b/>
        <sz val="10"/>
        <color rgb="FF000000"/>
        <rFont val="Calibri"/>
        <family val="2"/>
        <scheme val="minor"/>
      </rPr>
      <t>*Video Corto*</t>
    </r>
    <r>
      <rPr>
        <sz val="10"/>
        <color rgb="FF000000"/>
        <rFont val="Calibri"/>
        <family val="2"/>
        <scheme val="minor"/>
      </rPr>
      <t xml:space="preserve"> Tarifa Bogotá</t>
    </r>
  </si>
  <si>
    <r>
      <rPr>
        <b/>
        <sz val="10"/>
        <color rgb="FF000000"/>
        <rFont val="Calibri"/>
        <family val="2"/>
        <scheme val="minor"/>
      </rPr>
      <t>Caracol - Entendencia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+ 9 Promos Estándar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(3 en Dos puntos, 3 en Luciérnada y 3 en A Vivir FDS) </t>
    </r>
    <r>
      <rPr>
        <b/>
        <sz val="10"/>
        <color rgb="FF000000"/>
        <rFont val="Calibri"/>
        <family val="2"/>
        <scheme val="minor"/>
      </rPr>
      <t>*Video Corto*</t>
    </r>
    <r>
      <rPr>
        <sz val="10"/>
        <color rgb="FF000000"/>
        <rFont val="Calibri"/>
        <family val="2"/>
        <scheme val="minor"/>
      </rPr>
      <t xml:space="preserve"> Tarifa Bogotá</t>
    </r>
  </si>
  <si>
    <r>
      <rPr>
        <b/>
        <sz val="10"/>
        <color rgb="FF000000"/>
        <rFont val="Calibri"/>
        <family val="2"/>
        <scheme val="minor"/>
      </rPr>
      <t>Caracol - Tecnología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+ 9 Promos Estándar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(3 en Dos puntos, 3 en Luciérnada y 3 en A Vivir FDS) </t>
    </r>
    <r>
      <rPr>
        <b/>
        <sz val="10"/>
        <color rgb="FF000000"/>
        <rFont val="Calibri"/>
        <family val="2"/>
        <scheme val="minor"/>
      </rPr>
      <t>*Video Corto*</t>
    </r>
    <r>
      <rPr>
        <sz val="10"/>
        <color rgb="FF000000"/>
        <rFont val="Calibri"/>
        <family val="2"/>
        <scheme val="minor"/>
      </rPr>
      <t xml:space="preserve"> Tarifa Bogotá</t>
    </r>
  </si>
  <si>
    <r>
      <rPr>
        <b/>
        <sz val="10"/>
        <color rgb="FF000000"/>
        <rFont val="Calibri"/>
        <family val="2"/>
        <scheme val="minor"/>
      </rPr>
      <t>Caracol - Check in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+ 9 Promos Estándar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(3 en Dos puntos, 3 en Luciérnada y 3 en A Vivir FDS) </t>
    </r>
    <r>
      <rPr>
        <b/>
        <sz val="10"/>
        <color rgb="FF000000"/>
        <rFont val="Calibri"/>
        <family val="2"/>
        <scheme val="minor"/>
      </rPr>
      <t>*Video Corto*</t>
    </r>
    <r>
      <rPr>
        <sz val="10"/>
        <color rgb="FF000000"/>
        <rFont val="Calibri"/>
        <family val="2"/>
        <scheme val="minor"/>
      </rPr>
      <t xml:space="preserve"> Tarifa Bogotá</t>
    </r>
  </si>
  <si>
    <r>
      <rPr>
        <b/>
        <sz val="10"/>
        <color rgb="FF000000"/>
        <rFont val="Calibri"/>
        <family val="2"/>
        <scheme val="minor"/>
      </rPr>
      <t>Caracol - Plaza Alvira / Bogotá</t>
    </r>
    <r>
      <rPr>
        <sz val="10"/>
        <color rgb="FF000000"/>
        <rFont val="Calibri"/>
        <family val="2"/>
        <scheme val="minor"/>
      </rPr>
      <t xml:space="preserve"> - Incluye producción amplificación con Reel en Tiktok e Instagram + 12 Promos Estándar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(3 en Dos puntos, 3 en Luciérnada, 3 en A Vivir FDS y 3 en Noticiero Media día)  (este formato debe ir siempre con Radio) </t>
    </r>
    <r>
      <rPr>
        <b/>
        <sz val="10"/>
        <color rgb="FF000000"/>
        <rFont val="Calibri"/>
        <family val="2"/>
        <scheme val="minor"/>
      </rPr>
      <t>*Video Corto*</t>
    </r>
  </si>
  <si>
    <r>
      <rPr>
        <b/>
        <sz val="10"/>
        <color rgb="FF000000"/>
        <rFont val="Calibri"/>
        <family val="2"/>
        <scheme val="minor"/>
      </rPr>
      <t>Caracol - Los Protagonistas / En Territorio / Geniales y Mayores/ Yo se quién sabe lo que ud no sabe... con vino</t>
    </r>
    <r>
      <rPr>
        <sz val="10"/>
        <color rgb="FF000000"/>
        <rFont val="Calibri"/>
        <family val="2"/>
        <scheme val="minor"/>
      </rPr>
      <t xml:space="preserve"> / Incluye producción + amplificación con Reel en Tiktok e Instagram + 9 Promos Estándar en Radio (3 en Dos puntos, 3 en Luciérnada y 3 en A Vivir FDS) </t>
    </r>
    <r>
      <rPr>
        <b/>
        <sz val="10"/>
        <color rgb="FF000000"/>
        <rFont val="Calibri"/>
        <family val="2"/>
        <scheme val="minor"/>
      </rPr>
      <t>Video Largo*</t>
    </r>
    <r>
      <rPr>
        <sz val="10"/>
        <color rgb="FF000000"/>
        <rFont val="Calibri"/>
        <family val="2"/>
        <scheme val="minor"/>
      </rPr>
      <t xml:space="preserve"> Tarifa Bogotá</t>
    </r>
  </si>
  <si>
    <r>
      <rPr>
        <b/>
        <sz val="10"/>
        <color rgb="FF000000"/>
        <rFont val="Calibri"/>
        <family val="2"/>
        <scheme val="minor"/>
      </rPr>
      <t>Caracol - Parodias la Luciérnaga / El Sermón de Fraile / El Radar de Villar / Se lo Explico con Datos / Doble Clic</t>
    </r>
    <r>
      <rPr>
        <sz val="10"/>
        <color rgb="FF000000"/>
        <rFont val="Calibri"/>
        <family val="2"/>
        <scheme val="minor"/>
      </rPr>
      <t xml:space="preserve">  Incluye producción + amplificación con Reel en Tiktok e Instagram + 9 Promos Estándar en Radio (3 en Dos puntos, 3 en Luciérnada y 3 en A Vivir FDS) </t>
    </r>
    <r>
      <rPr>
        <b/>
        <sz val="10"/>
        <color rgb="FF000000"/>
        <rFont val="Calibri"/>
        <family val="2"/>
        <scheme val="minor"/>
      </rPr>
      <t>Video Corto*</t>
    </r>
    <r>
      <rPr>
        <sz val="10"/>
        <color rgb="FF000000"/>
        <rFont val="Calibri"/>
        <family val="2"/>
        <scheme val="minor"/>
      </rPr>
      <t xml:space="preserve"> Tarifa Bogotá</t>
    </r>
  </si>
  <si>
    <r>
      <rPr>
        <b/>
        <sz val="10"/>
        <color rgb="FF000000"/>
        <rFont val="Calibri"/>
        <family val="2"/>
        <scheme val="minor"/>
      </rPr>
      <t>Bésame - Historia de Cachos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+15 promos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de 20" en programación musical nacional </t>
    </r>
    <r>
      <rPr>
        <b/>
        <sz val="10"/>
        <color rgb="FF000000"/>
        <rFont val="Calibri"/>
        <family val="2"/>
        <scheme val="minor"/>
      </rPr>
      <t>*Video Largo*</t>
    </r>
  </si>
  <si>
    <r>
      <rPr>
        <b/>
        <sz val="10"/>
        <color rgb="FF000000"/>
        <rFont val="Calibri"/>
        <family val="2"/>
        <scheme val="minor"/>
      </rPr>
      <t>Bésame - Mechismes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+15 promos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de 20" en programación musical nacional </t>
    </r>
    <r>
      <rPr>
        <b/>
        <sz val="10"/>
        <color rgb="FF000000"/>
        <rFont val="Calibri"/>
        <family val="2"/>
        <scheme val="minor"/>
      </rPr>
      <t>*Video Largo*</t>
    </r>
  </si>
  <si>
    <r>
      <rPr>
        <b/>
        <sz val="10"/>
        <color rgb="FF000000"/>
        <rFont val="Calibri"/>
        <family val="2"/>
        <scheme val="minor"/>
      </rPr>
      <t>Tropicana - La Extraordinarias</t>
    </r>
    <r>
      <rPr>
        <sz val="10"/>
        <color rgb="FF000000"/>
        <rFont val="Calibri"/>
        <family val="2"/>
        <scheme val="minor"/>
      </rPr>
      <t xml:space="preserve"> - Incluye producción + amplificación con Reel en Tiktok, Instagram e historia en Facebook +15 promos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de 20" en programación musical nacional </t>
    </r>
    <r>
      <rPr>
        <b/>
        <sz val="10"/>
        <color rgb="FF000000"/>
        <rFont val="Calibri"/>
        <family val="2"/>
        <scheme val="minor"/>
      </rPr>
      <t>*Video Corto*</t>
    </r>
  </si>
  <si>
    <r>
      <rPr>
        <b/>
        <sz val="10"/>
        <color rgb="FF000000"/>
        <rFont val="Calibri"/>
        <family val="2"/>
        <scheme val="minor"/>
      </rPr>
      <t>Tropicana - La Otra Entrevista</t>
    </r>
    <r>
      <rPr>
        <sz val="10"/>
        <color rgb="FF000000"/>
        <rFont val="Calibri"/>
        <family val="2"/>
        <scheme val="minor"/>
      </rPr>
      <t xml:space="preserve"> - Incluye producción + amplificación con Reel en Tiktok, Instagram e historia en Facebook +15 promos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de 20" en programación musical nacional </t>
    </r>
    <r>
      <rPr>
        <b/>
        <sz val="10"/>
        <color rgb="FF000000"/>
        <rFont val="Calibri"/>
        <family val="2"/>
        <scheme val="minor"/>
      </rPr>
      <t>*Video Largo*</t>
    </r>
  </si>
  <si>
    <r>
      <rPr>
        <b/>
        <sz val="10"/>
        <color rgb="FF000000"/>
        <rFont val="Calibri"/>
        <family val="2"/>
        <scheme val="minor"/>
      </rPr>
      <t>Tropicana  - Chicas en su Salsa</t>
    </r>
    <r>
      <rPr>
        <sz val="10"/>
        <color rgb="FF000000"/>
        <rFont val="Calibri"/>
        <family val="2"/>
        <scheme val="minor"/>
      </rPr>
      <t xml:space="preserve"> - Incluye producción + amplificación con Reel en Instagram e historia en Facebook +15 promos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de 20" en programación musical nacional </t>
    </r>
    <r>
      <rPr>
        <b/>
        <sz val="10"/>
        <color rgb="FF000000"/>
        <rFont val="Calibri"/>
        <family val="2"/>
        <scheme val="minor"/>
      </rPr>
      <t>*Video Largo*</t>
    </r>
  </si>
  <si>
    <r>
      <rPr>
        <b/>
        <sz val="10"/>
        <color rgb="FF000000"/>
        <rFont val="Calibri"/>
        <family val="2"/>
        <scheme val="minor"/>
      </rPr>
      <t>Tropicana - Entre Valientes</t>
    </r>
    <r>
      <rPr>
        <sz val="10"/>
        <color rgb="FF000000"/>
        <rFont val="Calibri"/>
        <family val="2"/>
        <scheme val="minor"/>
      </rPr>
      <t xml:space="preserve"> - Incluye producción + amplificación con Reel en Tiktok, Instagram e historia en Facebook +15 promos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de 20" en programación musical nacional </t>
    </r>
    <r>
      <rPr>
        <b/>
        <sz val="10"/>
        <color rgb="FF000000"/>
        <rFont val="Calibri"/>
        <family val="2"/>
        <scheme val="minor"/>
      </rPr>
      <t>*Video Largo*</t>
    </r>
  </si>
  <si>
    <r>
      <rPr>
        <b/>
        <sz val="10"/>
        <color rgb="FF000000"/>
        <rFont val="Calibri"/>
        <family val="2"/>
        <scheme val="minor"/>
      </rPr>
      <t xml:space="preserve">Tropicana - Muchas Pelotas / Las Mil Oficios / El Comelón / Se lo Explico con Expertos </t>
    </r>
    <r>
      <rPr>
        <sz val="10"/>
        <color rgb="FF000000"/>
        <rFont val="Calibri"/>
        <family val="2"/>
        <scheme val="minor"/>
      </rPr>
      <t>/  Incluye producción + amplificación con Reel en Tiktok, Instagram e historia en Facebook +15 promos en radio de 20" en programación musical nacional *</t>
    </r>
    <r>
      <rPr>
        <b/>
        <sz val="10"/>
        <color rgb="FF000000"/>
        <rFont val="Calibri"/>
        <family val="2"/>
        <scheme val="minor"/>
      </rPr>
      <t>Video Corto*</t>
    </r>
  </si>
  <si>
    <r>
      <rPr>
        <b/>
        <sz val="10"/>
        <color rgb="FF000000"/>
        <rFont val="Calibri"/>
        <family val="2"/>
        <scheme val="minor"/>
      </rPr>
      <t>AS: Es un Hecho (Programa de temporada)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+ 4 cuñas de Radio en AS Mundial </t>
    </r>
    <r>
      <rPr>
        <b/>
        <sz val="10"/>
        <color rgb="FF000000"/>
        <rFont val="Calibri"/>
        <family val="2"/>
        <scheme val="minor"/>
      </rPr>
      <t>*Video Largo*</t>
    </r>
  </si>
  <si>
    <t xml:space="preserve">MUCHAS PELOTAS / LAS MIL OFICIOS / EL COMELÓN / SE LO EXPLICO CON EXPERTOS </t>
  </si>
  <si>
    <t xml:space="preserve">CARTAS A MI EX / CONVERSEMOS CON SANDRO / PUEBLIANDO / MUJERES QUE TRANSFORMAN </t>
  </si>
  <si>
    <t>/ PANTALLEROS / ROCK FACTS / GABSULAS</t>
  </si>
  <si>
    <r>
      <rPr>
        <b/>
        <sz val="10"/>
        <color rgb="FF000000"/>
        <rFont val="Calibri"/>
        <family val="2"/>
        <scheme val="minor"/>
      </rPr>
      <t>Radioacktiva - Pantalleros / Rock Facts / Gabsulas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</t>
    </r>
    <r>
      <rPr>
        <b/>
        <sz val="10"/>
        <color rgb="FF000000"/>
        <rFont val="Calibri"/>
        <family val="2"/>
        <scheme val="minor"/>
      </rPr>
      <t>*Video Largo*</t>
    </r>
  </si>
  <si>
    <r>
      <rPr>
        <b/>
        <sz val="10"/>
        <color rgb="FF000000"/>
        <rFont val="Calibri"/>
        <family val="2"/>
        <scheme val="minor"/>
      </rPr>
      <t>Bésame - Cartas a mi ex / Conversemos con Sandro / Puebliando / Mujeres que Transforman /</t>
    </r>
    <r>
      <rPr>
        <sz val="10"/>
        <color rgb="FF000000"/>
        <rFont val="Calibri"/>
        <family val="2"/>
        <scheme val="minor"/>
      </rPr>
      <t xml:space="preserve"> Incluye producción + amplificación con Reel en Tiktok e Instagram +15 promos en radio de 20" en programación musical nacional </t>
    </r>
    <r>
      <rPr>
        <b/>
        <sz val="10"/>
        <color rgb="FF000000"/>
        <rFont val="Calibri"/>
        <family val="2"/>
        <scheme val="minor"/>
      </rPr>
      <t>Video Largo*</t>
    </r>
  </si>
  <si>
    <t>CONTENIDO EXCLUSIVO IMPRESENTABLES (1 SALIDA) EN CABINA 2026</t>
  </si>
  <si>
    <t xml:space="preserve">Salida con vocero de marca de max 20 mins.  Minimo de duración depende del vocero de marca segun el desarrolle que se logre al aire. </t>
  </si>
  <si>
    <t xml:space="preserve">IMPRESENTABLES </t>
  </si>
  <si>
    <t>CONTENIDO EXCLUSIVO (EN VIVO EN RADIO)</t>
  </si>
  <si>
    <t>LIVE TIK TOK</t>
  </si>
  <si>
    <t xml:space="preserve">CAPSULA DE VIDEO (PRODUCCIÓN) </t>
  </si>
  <si>
    <t>VIDEO HORIZONTAL YOUTUBE (PUBLICACIÓN)</t>
  </si>
  <si>
    <t>CONTENIDO EXCLUSIVO INEXPERTAS (1 SALIDA) EN CABINA 2026</t>
  </si>
  <si>
    <t>INEXPERTAS</t>
  </si>
  <si>
    <t>CONTENIDO EXCLUSIVO TROPICANA (1 SALIDA) EN CABINA 2026</t>
  </si>
  <si>
    <t>CONTENIDO EXCLUSIVOEL GALLO (1 SALIDA) EN CABINA 2026 CON VOCERO</t>
  </si>
  <si>
    <t>EL GALLO</t>
  </si>
  <si>
    <t>SALIDA CON VOCERO DE MARCA DE 4 A 5 MIN</t>
  </si>
  <si>
    <t xml:space="preserve">INEXPERTAS </t>
  </si>
  <si>
    <t xml:space="preserve">SALIDA CON VOCERO DE MARCA MORNING </t>
  </si>
  <si>
    <t>CONTENIDO EXCLUSIVOEL GALLO (1 SALIDA) EN CABINA 2026 SIN VOCERO</t>
  </si>
  <si>
    <t>MICROPROGRAMA BÉSAME INEXPERTAS CON VOCERO DE MARCA</t>
  </si>
  <si>
    <t>BRUTO</t>
  </si>
  <si>
    <t>MICROPROGRAMA</t>
  </si>
  <si>
    <t>PRESENTACIÓN Y DESPEDIDA DEL MICROPROGRAMA</t>
  </si>
  <si>
    <t>SECCIÓN ESPECIAL INEXPERTAS</t>
  </si>
  <si>
    <t>CUÑAS HASTA DE 20" MORNING</t>
  </si>
  <si>
    <t>CUÑA HASTA DE 20"  MUSICAL</t>
  </si>
  <si>
    <t>PROMO 30'' PROGRAMACIÓN MUSICAL</t>
  </si>
  <si>
    <t>INDIVIDUALES PROGRAMACIÓN MUSICAL</t>
  </si>
  <si>
    <t>MICROPROGRAMA  DETALLE DIGITAL (VIDEO SECCIÓN)</t>
  </si>
  <si>
    <t>MICROPROGRAMA BÉSAME INEXPERTAS SIN VOCERO</t>
  </si>
  <si>
    <t>MICROPROGRAMA  TROPICANA BOGOTÁ - SIN VOCERO</t>
  </si>
  <si>
    <t>SECCIÓN ESPECIAL COMO AMANECIO</t>
  </si>
  <si>
    <t xml:space="preserve">DETALLE DIGITAL </t>
  </si>
  <si>
    <t>HISTORIAS INSTAGRAM</t>
  </si>
  <si>
    <t>Contenido Exclusivo - Video Largo* Aplica para marcas musicales</t>
  </si>
  <si>
    <t>Microprograma con Vocero - Video Largo* Aplica para marcas musicales</t>
  </si>
  <si>
    <t>Microprograma Sin Vocero - Video Largo* Aplica para marcas musicales</t>
  </si>
  <si>
    <t>MICROPROGRAMA  TROPICANA BOGOTÁ - CON VOCERO</t>
  </si>
  <si>
    <r>
      <t>Sección video Prime</t>
    </r>
    <r>
      <rPr>
        <sz val="10"/>
        <color rgb="FF000000"/>
        <rFont val="Calibri"/>
        <family val="2"/>
        <scheme val="minor"/>
      </rPr>
      <t xml:space="preserve"> (En vivo - Live, Banner, Full Screen)</t>
    </r>
  </si>
  <si>
    <t>MODELO / FORMATO</t>
  </si>
  <si>
    <t>CONTENIDO</t>
  </si>
  <si>
    <t>Digital (marca + YouTube + video)</t>
  </si>
  <si>
    <t>Digital (marca + Tiktok + video)</t>
  </si>
  <si>
    <t xml:space="preserve">TIKTOK </t>
  </si>
  <si>
    <t xml:space="preserve">Radio (emisora + programa + sección) </t>
  </si>
  <si>
    <t>SECCION</t>
  </si>
  <si>
    <t>CRC / AS Colombia: Rock &amp; Gol del AS / Banqueados / Rock &amp; Gol del AS Transmisión FDS / La Jugada Bacana</t>
  </si>
  <si>
    <t xml:space="preserve">BRANDED MOMENTS  </t>
  </si>
  <si>
    <t>Branded Moments (Animados, Toma de Cabina, Product Placement)</t>
  </si>
  <si>
    <t xml:space="preserve">(3 veces en el día) </t>
  </si>
  <si>
    <t>CRC / AS</t>
  </si>
  <si>
    <t>SPOT</t>
  </si>
  <si>
    <t xml:space="preserve">Spot * 3 (3 veces en el día) </t>
  </si>
  <si>
    <t>SPOT MOMENTS</t>
  </si>
  <si>
    <t>Spot Moments * 3 (3 veces en el día)</t>
  </si>
  <si>
    <t>Spot - Aplica para marcas musicales - Video Largo*</t>
  </si>
  <si>
    <t>Spot Moments - Aplica para marcas musicales - Video Largo*</t>
  </si>
  <si>
    <t>PICA EL PICO (VALOR 1 CAPITULO)</t>
  </si>
  <si>
    <t xml:space="preserve">SECCION RADIO </t>
  </si>
  <si>
    <t>CUÑA</t>
  </si>
  <si>
    <t>PROMO</t>
  </si>
  <si>
    <t>PICA EL PICO</t>
  </si>
  <si>
    <t>PRODUCT PLACEMENT</t>
  </si>
  <si>
    <t>PRESENTACIÓN Y DESPEDIDA</t>
  </si>
  <si>
    <t xml:space="preserve">SECCIÓN PRIME </t>
  </si>
  <si>
    <r>
      <rPr>
        <b/>
        <sz val="10"/>
        <color rgb="FF000000"/>
        <rFont val="Calibri"/>
        <family val="2"/>
        <scheme val="minor"/>
      </rPr>
      <t>Radioacktiva - Pica el Pico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Instagram+ Promos en Radio *Video Largo</t>
    </r>
  </si>
  <si>
    <r>
      <rPr>
        <b/>
        <sz val="10"/>
        <color rgb="FF000000"/>
        <rFont val="Calibri"/>
        <family val="2"/>
        <scheme val="minor"/>
      </rPr>
      <t>Los 40: Team Hater / Maldito Milenial / Suplentes del Gol / + de 40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+15 promos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de 20" en programación musical nacional </t>
    </r>
    <r>
      <rPr>
        <b/>
        <sz val="10"/>
        <color rgb="FF000000"/>
        <rFont val="Calibri"/>
        <family val="2"/>
        <scheme val="minor"/>
      </rPr>
      <t>*Programa*</t>
    </r>
  </si>
  <si>
    <t>PLATAFORMA</t>
  </si>
  <si>
    <t>FRANQUICIA</t>
  </si>
  <si>
    <t>TARIFA</t>
  </si>
  <si>
    <t>Web Colombia.AS.com</t>
  </si>
  <si>
    <t>Home/Internas</t>
  </si>
  <si>
    <t>Video Pre Roll</t>
  </si>
  <si>
    <t>Audio Pre Roll</t>
  </si>
  <si>
    <t>Patrocinio Podcast (Spreaker)</t>
  </si>
  <si>
    <t>Producción AS</t>
  </si>
  <si>
    <t>Video Corto 1 Talento</t>
  </si>
  <si>
    <t>Genérico</t>
  </si>
  <si>
    <t>Instagram AS</t>
  </si>
  <si>
    <t>Reel</t>
  </si>
  <si>
    <t>Tiktok AS</t>
  </si>
  <si>
    <t>Video Sección</t>
  </si>
  <si>
    <t>Morning Gol / Rock &amp; Gol del AS / Banqueados / AS Noticias / Milonga / El VBar / Rock &amp; Gol del AS Transmisión / La Jugada Bacana / Milonga / La Fuga / AS Noticias</t>
  </si>
  <si>
    <t>Product Placement con Interacción</t>
  </si>
  <si>
    <t>Video Remoto Bogotá</t>
  </si>
  <si>
    <t>Morning Gol / As Noticias / Milonga / El Vbar / AS Noticias FDS  / Rock &amp; Gol del AS / Banqueados / Rock &amp; Gol del AS Transmisión FDS / La Jugada Bacana</t>
  </si>
  <si>
    <t>Youtube AS</t>
  </si>
  <si>
    <t>Branded Moments</t>
  </si>
  <si>
    <t>Rock &amp; Gol del AS / Banqueados / Rock &amp; Gol del AS Transmisión FDS / La Jugada Bacana</t>
  </si>
  <si>
    <t>Video Largo</t>
  </si>
  <si>
    <t xml:space="preserve">Es un Hecho / El Albúm / Vidas / Sin Tibiezas </t>
  </si>
  <si>
    <t>Video Corto</t>
  </si>
  <si>
    <t>Big Data</t>
  </si>
  <si>
    <t>Nota de Contenido</t>
  </si>
  <si>
    <t>Agrupador de Contenidos</t>
  </si>
  <si>
    <t>Formulario Básico (Quailifio)</t>
  </si>
  <si>
    <t>Piezas a la Medida</t>
  </si>
  <si>
    <t>Live</t>
  </si>
  <si>
    <t>Whatsapp</t>
  </si>
  <si>
    <t>Long Form</t>
  </si>
  <si>
    <t>Minuto a Minuto</t>
  </si>
  <si>
    <t>Widget Home</t>
  </si>
  <si>
    <t>Tweet con URL, Foto y/o Video AS</t>
  </si>
  <si>
    <t>Historia</t>
  </si>
  <si>
    <t>Ráfagas</t>
  </si>
  <si>
    <t>Meta AS</t>
  </si>
  <si>
    <t>Video</t>
  </si>
  <si>
    <t>Shorts</t>
  </si>
  <si>
    <t>Web El País.com</t>
  </si>
  <si>
    <t>Producción El País</t>
  </si>
  <si>
    <t>Branded Content</t>
  </si>
  <si>
    <t>Especial de Publicidad</t>
  </si>
  <si>
    <t>Tweet con URL, Foto y/o Video El País</t>
  </si>
  <si>
    <t>Instagram El País</t>
  </si>
  <si>
    <t>Meta El País</t>
  </si>
  <si>
    <t>Web Caracol.com</t>
  </si>
  <si>
    <t>Producción Caracol</t>
  </si>
  <si>
    <t>Instagram Caracol</t>
  </si>
  <si>
    <t>Tiktok Caracol</t>
  </si>
  <si>
    <t>Noticiero 6am W</t>
  </si>
  <si>
    <t>El Pulso del Fútbol / Dos Puntos / Hora 20 / La Polémica / AS Mundial</t>
  </si>
  <si>
    <t>Luciérnaga</t>
  </si>
  <si>
    <t>Fin de Semana / El Vbar</t>
  </si>
  <si>
    <t>Producción Cápsula de Video</t>
  </si>
  <si>
    <t>Product Placement</t>
  </si>
  <si>
    <t>Video Cubrimiento Bogotá</t>
  </si>
  <si>
    <t>Video Cubrimiento Local</t>
  </si>
  <si>
    <t>Registro Fotográfico Nacional</t>
  </si>
  <si>
    <t>Registro Fotográfico Local</t>
  </si>
  <si>
    <t>Youtube Caracol</t>
  </si>
  <si>
    <t>Probando Probando / Entendencia / Tecnología / Check In / Parodias la Luciérnaga / El Sermón de Fraile / El Radar de Villar / Se lo explico con datos / Doble Clic</t>
  </si>
  <si>
    <t>Plaza Alvira</t>
  </si>
  <si>
    <t>Patrocinio Podcast Triton</t>
  </si>
  <si>
    <t>Widget Deportes</t>
  </si>
  <si>
    <t>Tweet con URL, Foto y/o Video Caracol</t>
  </si>
  <si>
    <t>Meta Caracol</t>
  </si>
  <si>
    <t>Post Local</t>
  </si>
  <si>
    <t>Reel Local</t>
  </si>
  <si>
    <t>Historia Local</t>
  </si>
  <si>
    <t>Ráfagas Local</t>
  </si>
  <si>
    <t>Colaboración Local</t>
  </si>
  <si>
    <t>Audiencias Extendidas Display</t>
  </si>
  <si>
    <t>Audiencias Extendidas Rich Media</t>
  </si>
  <si>
    <t>Web Tropicanafm.com</t>
  </si>
  <si>
    <t>Producción Tropicana</t>
  </si>
  <si>
    <t>Video Corto 3 Talentos</t>
  </si>
  <si>
    <t>Cómo Amaneció / Cómo Atardeció / A qué no me duermo</t>
  </si>
  <si>
    <t>Video corto 2 Talentos</t>
  </si>
  <si>
    <t>Video Corto Local</t>
  </si>
  <si>
    <t>Video Corto Historias Local</t>
  </si>
  <si>
    <t>Video Sección Local</t>
  </si>
  <si>
    <t>Product Placement Local</t>
  </si>
  <si>
    <t>Youtube Sección Prime</t>
  </si>
  <si>
    <t>Tiktok Sección Prime</t>
  </si>
  <si>
    <t>Video Remoto Medellín</t>
  </si>
  <si>
    <t>Video Remoto Cali</t>
  </si>
  <si>
    <t>Video Remoto Barranquilla</t>
  </si>
  <si>
    <t>Youtube Tropicana</t>
  </si>
  <si>
    <t>Tiktok Tropicana</t>
  </si>
  <si>
    <t>Muchas Pelotas / Las Mil Oficios / El Comelón / Se lo explico con Expertos</t>
  </si>
  <si>
    <t>La Otra Entrevista / Entre Valientes</t>
  </si>
  <si>
    <t>Chicas en su Salsa</t>
  </si>
  <si>
    <t>Las Extraordinarias</t>
  </si>
  <si>
    <t>Agrupador de Contenido</t>
  </si>
  <si>
    <t>Tweet con URL, Foto y/o Video Tropicana</t>
  </si>
  <si>
    <t>Instagram Tropicana</t>
  </si>
  <si>
    <t>Meta Tropicana</t>
  </si>
  <si>
    <t>Instragram Tropicana</t>
  </si>
  <si>
    <t>Spot</t>
  </si>
  <si>
    <t>Spot Moments</t>
  </si>
  <si>
    <t>Web Besame.fm</t>
  </si>
  <si>
    <t>Producción Bésame</t>
  </si>
  <si>
    <t>Inexpertas / Salsa a la Plancha</t>
  </si>
  <si>
    <t>Youtube Bésame</t>
  </si>
  <si>
    <t>Tiktok Bésame</t>
  </si>
  <si>
    <t>Historia de Cachos</t>
  </si>
  <si>
    <t>Mechismes</t>
  </si>
  <si>
    <t>Cartas a mi Ex / Conversemos con Sandro / Puebliando / Mujeres que Transforman / Oso Bruno</t>
  </si>
  <si>
    <t>Home / Internas</t>
  </si>
  <si>
    <t>Tweet con URL, Foto y/o Video Bésame</t>
  </si>
  <si>
    <t>Instagram Bésame</t>
  </si>
  <si>
    <t>Meta Bésame</t>
  </si>
  <si>
    <t>Web Radioacktiva.com</t>
  </si>
  <si>
    <t>Producción Radioacktiva</t>
  </si>
  <si>
    <t>El Gallo / Rock &amp; Gol / Rock &amp; Gol Legends /</t>
  </si>
  <si>
    <t>Youtube Radioacktiva</t>
  </si>
  <si>
    <t>Tiktok Radioacktiva</t>
  </si>
  <si>
    <t>Mascotas en el Mundial / Mundial de la Pola / Mundial de Fifa / Pantalleros / Rock Facts / Gabsulas</t>
  </si>
  <si>
    <t>Tweet con URL, Foto y/o Video Radioacktiva</t>
  </si>
  <si>
    <t>Instagram Radioacktiva</t>
  </si>
  <si>
    <t>Meta Radioacktiva</t>
  </si>
  <si>
    <t>Instragram Radioacktiva</t>
  </si>
  <si>
    <t>Web Los 40.com.co</t>
  </si>
  <si>
    <t>Producción Los 40</t>
  </si>
  <si>
    <t>Impresentables / Team Hater / Maldito Milenial / + de 40 / Suplentes del Gol</t>
  </si>
  <si>
    <t>Producción Los 41</t>
  </si>
  <si>
    <t>Producción Los 42</t>
  </si>
  <si>
    <t>Producción Los 43</t>
  </si>
  <si>
    <t>Producción Los 44</t>
  </si>
  <si>
    <t>Youtube Los 40</t>
  </si>
  <si>
    <t>Tiktok Los 40</t>
  </si>
  <si>
    <t>Instagram Los 40</t>
  </si>
  <si>
    <t>Meta Los 40</t>
  </si>
  <si>
    <t>TARIFAS NETAS  (NO APLICA DESCUENTO)</t>
  </si>
  <si>
    <t>Los Protagonistas / En Territorio / Geniales y Mayores  / Yo sé quién sabe lo que ud no sabe... Con vino / /La hemeroteca / El Reportero Caracol / Preguntas cultura General</t>
  </si>
  <si>
    <t>TEAM HATER LOS 40 / Maldito Milenial / Suplentes del Gol</t>
  </si>
  <si>
    <t>MENCIÓN</t>
  </si>
  <si>
    <r>
      <rPr>
        <b/>
        <sz val="10"/>
        <color rgb="FF000000"/>
        <rFont val="Calibri"/>
        <family val="2"/>
        <scheme val="minor"/>
      </rPr>
      <t>Más de 40</t>
    </r>
    <r>
      <rPr>
        <sz val="10"/>
        <color rgb="FF000000"/>
        <rFont val="Calibri"/>
        <family val="2"/>
        <scheme val="minor"/>
      </rPr>
      <t xml:space="preserve"> - Incluye producción + amplificación con Reel en Tiktok e Instagram +</t>
    </r>
    <r>
      <rPr>
        <b/>
        <sz val="10"/>
        <color rgb="FF000000"/>
        <rFont val="Calibri"/>
        <family val="2"/>
        <scheme val="minor"/>
      </rPr>
      <t xml:space="preserve"> Mención + </t>
    </r>
    <r>
      <rPr>
        <sz val="10"/>
        <color rgb="FF000000"/>
        <rFont val="Calibri"/>
        <family val="2"/>
        <scheme val="minor"/>
      </rPr>
      <t xml:space="preserve">15 promos en </t>
    </r>
    <r>
      <rPr>
        <b/>
        <sz val="10"/>
        <color rgb="FF000000"/>
        <rFont val="Calibri"/>
        <family val="2"/>
        <scheme val="minor"/>
      </rPr>
      <t>radio</t>
    </r>
    <r>
      <rPr>
        <sz val="10"/>
        <color rgb="FF000000"/>
        <rFont val="Calibri"/>
        <family val="2"/>
        <scheme val="minor"/>
      </rPr>
      <t xml:space="preserve"> de 20" en programación musical nacional </t>
    </r>
    <r>
      <rPr>
        <b/>
        <sz val="10"/>
        <color rgb="FF000000"/>
        <rFont val="Calibri"/>
        <family val="2"/>
        <scheme val="minor"/>
      </rPr>
      <t>*Programa*</t>
    </r>
  </si>
  <si>
    <t>EN TERRITORIO / YO SÉ QUIÉN SABE LO QUE UD NO SABE… CON VINO CARACOL VIDEO LARGO / /La hemeroteca / El Reportero Caracol / Preguntas cultura General</t>
  </si>
  <si>
    <r>
      <rPr>
        <b/>
        <sz val="10"/>
        <color rgb="FF000000"/>
        <rFont val="Calibri"/>
        <family val="2"/>
        <scheme val="minor"/>
      </rPr>
      <t>Caracol - En Territorio / Yo se quién sabe lo que ud no sabe... con vino</t>
    </r>
    <r>
      <rPr>
        <sz val="10"/>
        <color rgb="FF000000"/>
        <rFont val="Calibri"/>
        <family val="2"/>
        <scheme val="minor"/>
      </rPr>
      <t xml:space="preserve"> /</t>
    </r>
    <r>
      <rPr>
        <b/>
        <sz val="10"/>
        <color rgb="FF000000"/>
        <rFont val="Calibri"/>
        <family val="2"/>
        <scheme val="minor"/>
      </rPr>
      <t>La hemeroteca / El Reportero Caracol / Preguntas cultura Genera</t>
    </r>
    <r>
      <rPr>
        <sz val="10"/>
        <color rgb="FF000000"/>
        <rFont val="Calibri"/>
        <family val="2"/>
        <scheme val="minor"/>
      </rPr>
      <t xml:space="preserve">l / Incluye producción + amplificación con Reel en Tiktok e Instagram + 9 Promos Estándar en Radio (3 en Dos puntos, 3 en Luciérnada y 3 en A Vivir FDS) </t>
    </r>
    <r>
      <rPr>
        <b/>
        <sz val="10"/>
        <color rgb="FF000000"/>
        <rFont val="Calibri"/>
        <family val="2"/>
        <scheme val="minor"/>
      </rPr>
      <t>Video Largo*</t>
    </r>
    <r>
      <rPr>
        <sz val="10"/>
        <color rgb="FF000000"/>
        <rFont val="Calibri"/>
        <family val="2"/>
        <scheme val="minor"/>
      </rPr>
      <t xml:space="preserve"> Tarifa Bogotá</t>
    </r>
  </si>
  <si>
    <t xml:space="preserve"> + de 40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</si>
</sst>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&quot;$&quot;\ * #,##0_-;\-&quot;$&quot;\ * #,##0_-;_-&quot;$&quot;\ * &quot;-&quot;??_-;_-@_-"/>
    <numFmt numFmtId="167" formatCode="_-* #,##0\ _€_-;\-* #,##0\ _€_-;_-* &quot;-&quot;??\ _€_-;_-@_-"/>
    <numFmt numFmtId="168" formatCode="_(* #,##0_);_(* \(#,##0\);_(* &quot;-&quot;??_);_(@_)"/>
  </numFmts>
  <fonts count="5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color indexed="8"/>
      <name val="Calibri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5"/>
      <color rgb="FFFFFFFF"/>
      <name val="Arial"/>
      <family val="2"/>
    </font>
    <font>
      <sz val="10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ptos Narrow"/>
      <family val="2"/>
    </font>
    <font>
      <b/>
      <sz val="16"/>
      <color rgb="FFFFFFFF"/>
      <name val="Arial"/>
      <family val="2"/>
    </font>
    <font>
      <sz val="10"/>
      <color rgb="FF000000"/>
      <name val="Arial"/>
      <family val="2"/>
    </font>
    <font>
      <sz val="12"/>
      <color rgb="FF000000"/>
      <name val="Aptos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10"/>
      <color indexed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color rgb="FF262626"/>
      <name val="Arial"/>
      <family val="2"/>
    </font>
    <font>
      <b/>
      <sz val="12"/>
      <color rgb="FFFFFFFF"/>
      <name val="Arial"/>
      <family val="2"/>
    </font>
    <font>
      <b/>
      <sz val="18"/>
      <color rgb="FFFFFFFF"/>
      <name val="Arial"/>
      <family val="2"/>
    </font>
    <font>
      <b/>
      <sz val="18"/>
      <color rgb="FFFFFF0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sz val="9"/>
      <color rgb="FF000000"/>
      <name val="Aptos Narrow"/>
      <family val="2"/>
    </font>
    <font>
      <sz val="9"/>
      <color rgb="FFFFFFFF"/>
      <name val="Arial"/>
      <family val="2"/>
    </font>
    <font>
      <b/>
      <sz val="20"/>
      <color rgb="FFFFFF00"/>
      <name val="Arial"/>
      <family val="2"/>
    </font>
    <font>
      <b/>
      <sz val="10"/>
      <color rgb="FFFFFFFF"/>
      <name val="Calibri"/>
      <family val="2"/>
      <scheme val="minor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0"/>
      <color theme="0"/>
      <name val="Aptos Narrow"/>
      <family val="2"/>
    </font>
    <font>
      <b/>
      <sz val="12"/>
      <color rgb="FFFFFFFF"/>
      <name val="Aptos Narrow"/>
      <family val="2"/>
    </font>
    <font>
      <b/>
      <sz val="9"/>
      <color theme="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333399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78217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47D359"/>
        <bgColor rgb="FF000000"/>
      </patternFill>
    </fill>
  </fills>
  <borders count="72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/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indexed="64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indexed="64"/>
      </top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4659260841701"/>
      </left>
      <right/>
      <top style="thin">
        <color indexed="64"/>
      </top>
      <bottom/>
      <diagonal/>
    </border>
    <border>
      <left style="thin">
        <color theme="1" tint="0.24994659260841701"/>
      </left>
      <right/>
      <top/>
      <bottom style="thin">
        <color indexed="64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2" tint="-0.749961851863155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0" fontId="8" fillId="0" borderId="0"/>
    <xf numFmtId="44" fontId="7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6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1" fillId="4" borderId="0" xfId="0" applyFont="1" applyFill="1"/>
    <xf numFmtId="0" fontId="1" fillId="0" borderId="5" xfId="0" applyFont="1" applyBorder="1"/>
    <xf numFmtId="0" fontId="5" fillId="4" borderId="0" xfId="0" applyFont="1" applyFill="1" applyAlignment="1">
      <alignment horizontal="center" vertical="center" textRotation="90"/>
    </xf>
    <xf numFmtId="0" fontId="1" fillId="3" borderId="0" xfId="0" applyFont="1" applyFill="1"/>
    <xf numFmtId="6" fontId="1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 textRotation="90"/>
    </xf>
    <xf numFmtId="0" fontId="6" fillId="3" borderId="0" xfId="0" applyFont="1" applyFill="1" applyAlignment="1">
      <alignment horizontal="center" vertical="center" textRotation="90"/>
    </xf>
    <xf numFmtId="0" fontId="3" fillId="9" borderId="9" xfId="0" applyFont="1" applyFill="1" applyBorder="1" applyAlignment="1">
      <alignment horizontal="center" vertical="center" textRotation="90"/>
    </xf>
    <xf numFmtId="0" fontId="3" fillId="8" borderId="9" xfId="0" applyFont="1" applyFill="1" applyBorder="1" applyAlignment="1">
      <alignment horizontal="center" vertical="center" textRotation="90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6" fontId="1" fillId="3" borderId="12" xfId="0" applyNumberFormat="1" applyFont="1" applyFill="1" applyBorder="1" applyAlignment="1">
      <alignment horizontal="center" vertical="center"/>
    </xf>
    <xf numFmtId="6" fontId="2" fillId="0" borderId="0" xfId="0" applyNumberFormat="1" applyFont="1"/>
    <xf numFmtId="0" fontId="1" fillId="0" borderId="4" xfId="0" applyFont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10" fontId="2" fillId="0" borderId="0" xfId="0" applyNumberFormat="1" applyFont="1"/>
    <xf numFmtId="9" fontId="2" fillId="0" borderId="0" xfId="0" applyNumberFormat="1" applyFont="1"/>
    <xf numFmtId="0" fontId="2" fillId="0" borderId="0" xfId="0" applyFont="1" applyAlignment="1">
      <alignment horizontal="right"/>
    </xf>
    <xf numFmtId="164" fontId="1" fillId="3" borderId="12" xfId="1" applyNumberFormat="1" applyFont="1" applyFill="1" applyBorder="1" applyAlignment="1">
      <alignment horizontal="center"/>
    </xf>
    <xf numFmtId="164" fontId="1" fillId="3" borderId="12" xfId="1" applyNumberFormat="1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1" fillId="0" borderId="0" xfId="0" applyFont="1"/>
    <xf numFmtId="6" fontId="10" fillId="13" borderId="1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6" fontId="1" fillId="15" borderId="12" xfId="0" applyNumberFormat="1" applyFont="1" applyFill="1" applyBorder="1" applyAlignment="1">
      <alignment horizontal="center" vertical="center"/>
    </xf>
    <xf numFmtId="166" fontId="2" fillId="0" borderId="0" xfId="3" applyNumberFormat="1" applyFont="1"/>
    <xf numFmtId="0" fontId="2" fillId="0" borderId="12" xfId="0" applyFont="1" applyBorder="1"/>
    <xf numFmtId="6" fontId="2" fillId="0" borderId="12" xfId="0" applyNumberFormat="1" applyFont="1" applyBorder="1"/>
    <xf numFmtId="0" fontId="16" fillId="16" borderId="32" xfId="4" applyFont="1" applyFill="1" applyBorder="1"/>
    <xf numFmtId="0" fontId="16" fillId="16" borderId="33" xfId="4" applyFont="1" applyFill="1" applyBorder="1"/>
    <xf numFmtId="167" fontId="16" fillId="16" borderId="33" xfId="5" applyNumberFormat="1" applyFont="1" applyFill="1" applyBorder="1"/>
    <xf numFmtId="0" fontId="16" fillId="16" borderId="34" xfId="4" applyFont="1" applyFill="1" applyBorder="1"/>
    <xf numFmtId="0" fontId="8" fillId="17" borderId="12" xfId="4" applyFont="1" applyFill="1" applyBorder="1" applyAlignment="1">
      <alignment vertical="center" wrapText="1"/>
    </xf>
    <xf numFmtId="0" fontId="17" fillId="16" borderId="12" xfId="4" applyFont="1" applyFill="1" applyBorder="1" applyAlignment="1">
      <alignment horizontal="left"/>
    </xf>
    <xf numFmtId="0" fontId="8" fillId="17" borderId="12" xfId="2" applyFill="1" applyBorder="1" applyAlignment="1">
      <alignment horizontal="left"/>
    </xf>
    <xf numFmtId="168" fontId="18" fillId="17" borderId="12" xfId="5" applyNumberFormat="1" applyFont="1" applyFill="1" applyBorder="1" applyAlignment="1">
      <alignment horizontal="center"/>
    </xf>
    <xf numFmtId="168" fontId="18" fillId="17" borderId="12" xfId="6" applyNumberFormat="1" applyFont="1" applyFill="1" applyBorder="1" applyAlignment="1">
      <alignment horizontal="center"/>
    </xf>
    <xf numFmtId="9" fontId="8" fillId="17" borderId="12" xfId="2" applyNumberFormat="1" applyFill="1" applyBorder="1" applyAlignment="1">
      <alignment horizontal="center"/>
    </xf>
    <xf numFmtId="0" fontId="8" fillId="17" borderId="12" xfId="0" applyFont="1" applyFill="1" applyBorder="1" applyAlignment="1">
      <alignment horizontal="left"/>
    </xf>
    <xf numFmtId="0" fontId="14" fillId="0" borderId="0" xfId="4"/>
    <xf numFmtId="168" fontId="13" fillId="0" borderId="12" xfId="4" applyNumberFormat="1" applyFont="1" applyBorder="1"/>
    <xf numFmtId="168" fontId="16" fillId="16" borderId="35" xfId="4" applyNumberFormat="1" applyFont="1" applyFill="1" applyBorder="1"/>
    <xf numFmtId="168" fontId="0" fillId="0" borderId="0" xfId="0" applyNumberFormat="1"/>
    <xf numFmtId="9" fontId="0" fillId="0" borderId="0" xfId="0" applyNumberFormat="1"/>
    <xf numFmtId="0" fontId="20" fillId="18" borderId="32" xfId="0" applyFont="1" applyFill="1" applyBorder="1"/>
    <xf numFmtId="0" fontId="20" fillId="18" borderId="33" xfId="0" applyFont="1" applyFill="1" applyBorder="1"/>
    <xf numFmtId="0" fontId="20" fillId="18" borderId="34" xfId="0" applyFont="1" applyFill="1" applyBorder="1"/>
    <xf numFmtId="0" fontId="1" fillId="2" borderId="12" xfId="0" applyFont="1" applyFill="1" applyBorder="1" applyAlignment="1">
      <alignment horizontal="center"/>
    </xf>
    <xf numFmtId="3" fontId="1" fillId="2" borderId="12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left"/>
    </xf>
    <xf numFmtId="3" fontId="1" fillId="2" borderId="12" xfId="0" applyNumberFormat="1" applyFont="1" applyFill="1" applyBorder="1" applyAlignment="1">
      <alignment horizontal="right"/>
    </xf>
    <xf numFmtId="9" fontId="8" fillId="2" borderId="12" xfId="0" applyNumberFormat="1" applyFont="1" applyFill="1" applyBorder="1" applyAlignment="1">
      <alignment horizontal="center"/>
    </xf>
    <xf numFmtId="0" fontId="21" fillId="0" borderId="0" xfId="0" applyFont="1"/>
    <xf numFmtId="3" fontId="22" fillId="0" borderId="12" xfId="0" applyNumberFormat="1" applyFont="1" applyBorder="1"/>
    <xf numFmtId="3" fontId="20" fillId="18" borderId="35" xfId="0" applyNumberFormat="1" applyFont="1" applyFill="1" applyBorder="1"/>
    <xf numFmtId="0" fontId="16" fillId="16" borderId="33" xfId="4" applyFont="1" applyFill="1" applyBorder="1" applyAlignment="1">
      <alignment vertical="center"/>
    </xf>
    <xf numFmtId="9" fontId="8" fillId="17" borderId="12" xfId="2" applyNumberFormat="1" applyFill="1" applyBorder="1" applyAlignment="1">
      <alignment vertical="center"/>
    </xf>
    <xf numFmtId="0" fontId="14" fillId="0" borderId="0" xfId="4" applyAlignment="1">
      <alignment vertical="center"/>
    </xf>
    <xf numFmtId="0" fontId="0" fillId="0" borderId="0" xfId="0" applyAlignment="1">
      <alignment vertical="center"/>
    </xf>
    <xf numFmtId="3" fontId="22" fillId="0" borderId="0" xfId="0" applyNumberFormat="1" applyFont="1"/>
    <xf numFmtId="0" fontId="16" fillId="19" borderId="32" xfId="4" applyFont="1" applyFill="1" applyBorder="1"/>
    <xf numFmtId="0" fontId="16" fillId="19" borderId="33" xfId="4" applyFont="1" applyFill="1" applyBorder="1"/>
    <xf numFmtId="167" fontId="16" fillId="19" borderId="33" xfId="5" applyNumberFormat="1" applyFont="1" applyFill="1" applyBorder="1"/>
    <xf numFmtId="0" fontId="16" fillId="19" borderId="33" xfId="4" applyFont="1" applyFill="1" applyBorder="1" applyAlignment="1">
      <alignment vertical="center"/>
    </xf>
    <xf numFmtId="0" fontId="16" fillId="19" borderId="34" xfId="4" applyFont="1" applyFill="1" applyBorder="1"/>
    <xf numFmtId="0" fontId="17" fillId="19" borderId="12" xfId="4" applyFont="1" applyFill="1" applyBorder="1" applyAlignment="1">
      <alignment horizontal="left"/>
    </xf>
    <xf numFmtId="0" fontId="8" fillId="2" borderId="12" xfId="0" applyFont="1" applyFill="1" applyBorder="1" applyAlignment="1">
      <alignment vertical="center" wrapText="1"/>
    </xf>
    <xf numFmtId="0" fontId="24" fillId="18" borderId="12" xfId="0" applyFont="1" applyFill="1" applyBorder="1" applyAlignment="1">
      <alignment horizontal="left"/>
    </xf>
    <xf numFmtId="3" fontId="0" fillId="0" borderId="0" xfId="0" applyNumberFormat="1"/>
    <xf numFmtId="9" fontId="1" fillId="0" borderId="12" xfId="0" applyNumberFormat="1" applyFont="1" applyBorder="1" applyAlignment="1">
      <alignment horizontal="center"/>
    </xf>
    <xf numFmtId="0" fontId="25" fillId="0" borderId="0" xfId="0" applyFont="1"/>
    <xf numFmtId="3" fontId="20" fillId="18" borderId="34" xfId="0" applyNumberFormat="1" applyFont="1" applyFill="1" applyBorder="1"/>
    <xf numFmtId="0" fontId="20" fillId="18" borderId="33" xfId="0" applyFont="1" applyFill="1" applyBorder="1" applyAlignment="1">
      <alignment horizontal="center" vertical="center"/>
    </xf>
    <xf numFmtId="0" fontId="27" fillId="0" borderId="0" xfId="0" applyFont="1"/>
    <xf numFmtId="3" fontId="29" fillId="2" borderId="12" xfId="0" applyNumberFormat="1" applyFont="1" applyFill="1" applyBorder="1" applyAlignment="1">
      <alignment horizontal="center"/>
    </xf>
    <xf numFmtId="0" fontId="30" fillId="0" borderId="0" xfId="0" applyFont="1"/>
    <xf numFmtId="0" fontId="20" fillId="18" borderId="33" xfId="0" applyFont="1" applyFill="1" applyBorder="1" applyAlignment="1">
      <alignment vertical="center"/>
    </xf>
    <xf numFmtId="0" fontId="29" fillId="2" borderId="12" xfId="0" applyFont="1" applyFill="1" applyBorder="1" applyAlignment="1">
      <alignment horizontal="center"/>
    </xf>
    <xf numFmtId="9" fontId="29" fillId="0" borderId="12" xfId="0" applyNumberFormat="1" applyFont="1" applyBorder="1" applyAlignment="1">
      <alignment vertical="center"/>
    </xf>
    <xf numFmtId="0" fontId="31" fillId="0" borderId="0" xfId="0" applyFont="1"/>
    <xf numFmtId="3" fontId="32" fillId="0" borderId="12" xfId="0" applyNumberFormat="1" applyFont="1" applyBorder="1"/>
    <xf numFmtId="0" fontId="3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6" fillId="7" borderId="32" xfId="4" applyFont="1" applyFill="1" applyBorder="1"/>
    <xf numFmtId="0" fontId="16" fillId="7" borderId="33" xfId="4" applyFont="1" applyFill="1" applyBorder="1"/>
    <xf numFmtId="167" fontId="16" fillId="7" borderId="33" xfId="5" applyNumberFormat="1" applyFont="1" applyFill="1" applyBorder="1"/>
    <xf numFmtId="0" fontId="16" fillId="7" borderId="33" xfId="4" applyFont="1" applyFill="1" applyBorder="1" applyAlignment="1">
      <alignment vertical="center"/>
    </xf>
    <xf numFmtId="0" fontId="16" fillId="7" borderId="34" xfId="4" applyFont="1" applyFill="1" applyBorder="1"/>
    <xf numFmtId="0" fontId="8" fillId="7" borderId="12" xfId="4" applyFont="1" applyFill="1" applyBorder="1" applyAlignment="1">
      <alignment vertical="center" wrapText="1"/>
    </xf>
    <xf numFmtId="0" fontId="17" fillId="7" borderId="12" xfId="4" applyFont="1" applyFill="1" applyBorder="1" applyAlignment="1">
      <alignment horizontal="left"/>
    </xf>
    <xf numFmtId="0" fontId="8" fillId="7" borderId="12" xfId="2" applyFill="1" applyBorder="1" applyAlignment="1">
      <alignment horizontal="left"/>
    </xf>
    <xf numFmtId="168" fontId="18" fillId="7" borderId="12" xfId="5" applyNumberFormat="1" applyFont="1" applyFill="1" applyBorder="1" applyAlignment="1">
      <alignment horizontal="center"/>
    </xf>
    <xf numFmtId="168" fontId="18" fillId="7" borderId="12" xfId="6" applyNumberFormat="1" applyFont="1" applyFill="1" applyBorder="1" applyAlignment="1">
      <alignment horizontal="center"/>
    </xf>
    <xf numFmtId="9" fontId="8" fillId="7" borderId="12" xfId="2" applyNumberFormat="1" applyFill="1" applyBorder="1" applyAlignment="1">
      <alignment vertical="center"/>
    </xf>
    <xf numFmtId="0" fontId="8" fillId="7" borderId="12" xfId="0" applyFont="1" applyFill="1" applyBorder="1" applyAlignment="1">
      <alignment horizontal="left"/>
    </xf>
    <xf numFmtId="0" fontId="1" fillId="3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166" fontId="6" fillId="0" borderId="0" xfId="3" applyNumberFormat="1" applyFont="1"/>
    <xf numFmtId="9" fontId="6" fillId="0" borderId="0" xfId="0" applyNumberFormat="1" applyFont="1"/>
    <xf numFmtId="0" fontId="20" fillId="22" borderId="32" xfId="0" applyFont="1" applyFill="1" applyBorder="1"/>
    <xf numFmtId="0" fontId="20" fillId="22" borderId="33" xfId="0" applyFont="1" applyFill="1" applyBorder="1"/>
    <xf numFmtId="0" fontId="20" fillId="22" borderId="33" xfId="0" applyFont="1" applyFill="1" applyBorder="1" applyAlignment="1">
      <alignment vertical="center"/>
    </xf>
    <xf numFmtId="0" fontId="20" fillId="22" borderId="34" xfId="0" applyFont="1" applyFill="1" applyBorder="1"/>
    <xf numFmtId="0" fontId="24" fillId="22" borderId="12" xfId="0" applyFont="1" applyFill="1" applyBorder="1" applyAlignment="1">
      <alignment horizontal="left"/>
    </xf>
    <xf numFmtId="0" fontId="34" fillId="24" borderId="36" xfId="0" applyFont="1" applyFill="1" applyBorder="1" applyAlignment="1">
      <alignment horizontal="center" vertical="center" wrapText="1"/>
    </xf>
    <xf numFmtId="3" fontId="34" fillId="24" borderId="39" xfId="0" applyNumberFormat="1" applyFont="1" applyFill="1" applyBorder="1" applyAlignment="1">
      <alignment horizontal="center" vertical="center" wrapText="1"/>
    </xf>
    <xf numFmtId="3" fontId="34" fillId="24" borderId="38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3" fontId="0" fillId="0" borderId="42" xfId="0" applyNumberFormat="1" applyBorder="1" applyAlignment="1">
      <alignment horizontal="center"/>
    </xf>
    <xf numFmtId="3" fontId="0" fillId="0" borderId="43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3" fontId="0" fillId="0" borderId="39" xfId="0" applyNumberFormat="1" applyBorder="1" applyAlignment="1">
      <alignment horizontal="center" vertical="center"/>
    </xf>
    <xf numFmtId="3" fontId="0" fillId="0" borderId="38" xfId="0" applyNumberForma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3" fontId="0" fillId="0" borderId="39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0" xfId="0" applyBorder="1" applyAlignment="1">
      <alignment horizontal="center"/>
    </xf>
    <xf numFmtId="0" fontId="4" fillId="6" borderId="3" xfId="0" applyFont="1" applyFill="1" applyBorder="1" applyAlignment="1">
      <alignment horizontal="center" vertical="center" textRotation="90"/>
    </xf>
    <xf numFmtId="0" fontId="8" fillId="7" borderId="12" xfId="2" applyFill="1" applyBorder="1" applyAlignment="1">
      <alignment horizontal="left" wrapText="1"/>
    </xf>
    <xf numFmtId="0" fontId="8" fillId="17" borderId="0" xfId="2" applyFill="1" applyAlignment="1">
      <alignment horizontal="left"/>
    </xf>
    <xf numFmtId="0" fontId="16" fillId="25" borderId="32" xfId="4" applyFont="1" applyFill="1" applyBorder="1"/>
    <xf numFmtId="0" fontId="16" fillId="25" borderId="33" xfId="4" applyFont="1" applyFill="1" applyBorder="1"/>
    <xf numFmtId="167" fontId="16" fillId="25" borderId="33" xfId="5" applyNumberFormat="1" applyFont="1" applyFill="1" applyBorder="1"/>
    <xf numFmtId="0" fontId="16" fillId="25" borderId="33" xfId="4" applyFont="1" applyFill="1" applyBorder="1" applyAlignment="1">
      <alignment vertical="center"/>
    </xf>
    <xf numFmtId="0" fontId="16" fillId="25" borderId="34" xfId="4" applyFont="1" applyFill="1" applyBorder="1"/>
    <xf numFmtId="0" fontId="17" fillId="25" borderId="12" xfId="4" applyFont="1" applyFill="1" applyBorder="1" applyAlignment="1">
      <alignment horizontal="left"/>
    </xf>
    <xf numFmtId="0" fontId="1" fillId="0" borderId="1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12" xfId="7" applyFont="1" applyBorder="1" applyAlignment="1">
      <alignment horizontal="center" vertical="center"/>
    </xf>
    <xf numFmtId="0" fontId="3" fillId="29" borderId="2" xfId="0" applyFont="1" applyFill="1" applyBorder="1" applyAlignment="1">
      <alignment horizontal="center"/>
    </xf>
    <xf numFmtId="0" fontId="3" fillId="29" borderId="0" xfId="0" applyFont="1" applyFill="1" applyAlignment="1">
      <alignment horizontal="center"/>
    </xf>
    <xf numFmtId="0" fontId="3" fillId="29" borderId="1" xfId="0" applyFont="1" applyFill="1" applyBorder="1" applyAlignment="1">
      <alignment horizontal="center" vertical="center"/>
    </xf>
    <xf numFmtId="164" fontId="1" fillId="27" borderId="12" xfId="1" applyNumberFormat="1" applyFont="1" applyFill="1" applyBorder="1" applyAlignment="1">
      <alignment horizontal="center"/>
    </xf>
    <xf numFmtId="0" fontId="1" fillId="0" borderId="2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52" xfId="0" applyFont="1" applyFill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6" fillId="31" borderId="32" xfId="4" applyFont="1" applyFill="1" applyBorder="1"/>
    <xf numFmtId="0" fontId="16" fillId="31" borderId="33" xfId="4" applyFont="1" applyFill="1" applyBorder="1"/>
    <xf numFmtId="167" fontId="16" fillId="31" borderId="33" xfId="5" applyNumberFormat="1" applyFont="1" applyFill="1" applyBorder="1"/>
    <xf numFmtId="0" fontId="16" fillId="31" borderId="34" xfId="4" applyFont="1" applyFill="1" applyBorder="1"/>
    <xf numFmtId="0" fontId="17" fillId="31" borderId="12" xfId="4" applyFont="1" applyFill="1" applyBorder="1" applyAlignment="1">
      <alignment horizontal="left"/>
    </xf>
    <xf numFmtId="0" fontId="16" fillId="32" borderId="32" xfId="4" applyFont="1" applyFill="1" applyBorder="1"/>
    <xf numFmtId="0" fontId="16" fillId="32" borderId="33" xfId="4" applyFont="1" applyFill="1" applyBorder="1"/>
    <xf numFmtId="167" fontId="16" fillId="32" borderId="33" xfId="5" applyNumberFormat="1" applyFont="1" applyFill="1" applyBorder="1"/>
    <xf numFmtId="0" fontId="16" fillId="32" borderId="34" xfId="4" applyFont="1" applyFill="1" applyBorder="1"/>
    <xf numFmtId="0" fontId="17" fillId="32" borderId="12" xfId="4" applyFont="1" applyFill="1" applyBorder="1" applyAlignment="1">
      <alignment horizontal="left"/>
    </xf>
    <xf numFmtId="164" fontId="1" fillId="27" borderId="1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6" fillId="33" borderId="0" xfId="0" applyFont="1" applyFill="1" applyAlignment="1">
      <alignment horizontal="center" vertical="center"/>
    </xf>
    <xf numFmtId="0" fontId="37" fillId="33" borderId="0" xfId="0" applyFont="1" applyFill="1" applyAlignment="1">
      <alignment horizontal="center" vertical="center" wrapText="1"/>
    </xf>
    <xf numFmtId="168" fontId="18" fillId="3" borderId="12" xfId="5" applyNumberFormat="1" applyFont="1" applyFill="1" applyBorder="1" applyAlignment="1">
      <alignment horizontal="center"/>
    </xf>
    <xf numFmtId="168" fontId="18" fillId="3" borderId="12" xfId="6" applyNumberFormat="1" applyFont="1" applyFill="1" applyBorder="1" applyAlignment="1">
      <alignment horizontal="center"/>
    </xf>
    <xf numFmtId="9" fontId="8" fillId="3" borderId="12" xfId="2" applyNumberFormat="1" applyFill="1" applyBorder="1" applyAlignment="1">
      <alignment horizontal="center"/>
    </xf>
    <xf numFmtId="0" fontId="16" fillId="32" borderId="33" xfId="4" applyFont="1" applyFill="1" applyBorder="1" applyAlignment="1">
      <alignment vertical="center"/>
    </xf>
    <xf numFmtId="168" fontId="16" fillId="32" borderId="35" xfId="4" applyNumberFormat="1" applyFont="1" applyFill="1" applyBorder="1"/>
    <xf numFmtId="0" fontId="20" fillId="34" borderId="32" xfId="0" applyFont="1" applyFill="1" applyBorder="1"/>
    <xf numFmtId="0" fontId="20" fillId="34" borderId="33" xfId="0" applyFont="1" applyFill="1" applyBorder="1"/>
    <xf numFmtId="0" fontId="20" fillId="34" borderId="33" xfId="0" applyFont="1" applyFill="1" applyBorder="1" applyAlignment="1">
      <alignment vertical="center"/>
    </xf>
    <xf numFmtId="0" fontId="20" fillId="34" borderId="34" xfId="0" applyFont="1" applyFill="1" applyBorder="1"/>
    <xf numFmtId="0" fontId="24" fillId="34" borderId="12" xfId="0" applyFont="1" applyFill="1" applyBorder="1" applyAlignment="1">
      <alignment horizontal="left"/>
    </xf>
    <xf numFmtId="3" fontId="20" fillId="34" borderId="35" xfId="0" applyNumberFormat="1" applyFont="1" applyFill="1" applyBorder="1"/>
    <xf numFmtId="0" fontId="0" fillId="0" borderId="12" xfId="0" applyBorder="1" applyAlignment="1">
      <alignment horizontal="center" vertical="center" wrapText="1"/>
    </xf>
    <xf numFmtId="168" fontId="18" fillId="17" borderId="12" xfId="5" applyNumberFormat="1" applyFont="1" applyFill="1" applyBorder="1" applyAlignment="1">
      <alignment horizontal="center" vertical="center"/>
    </xf>
    <xf numFmtId="168" fontId="18" fillId="17" borderId="12" xfId="6" applyNumberFormat="1" applyFont="1" applyFill="1" applyBorder="1" applyAlignment="1">
      <alignment horizontal="center" vertical="center"/>
    </xf>
    <xf numFmtId="9" fontId="8" fillId="17" borderId="12" xfId="2" applyNumberFormat="1" applyFill="1" applyBorder="1" applyAlignment="1">
      <alignment horizontal="center" vertical="center"/>
    </xf>
    <xf numFmtId="0" fontId="3" fillId="21" borderId="0" xfId="0" applyFont="1" applyFill="1" applyAlignment="1">
      <alignment horizontal="center" vertical="center" textRotation="90" wrapText="1"/>
    </xf>
    <xf numFmtId="0" fontId="16" fillId="12" borderId="32" xfId="4" applyFont="1" applyFill="1" applyBorder="1"/>
    <xf numFmtId="0" fontId="16" fillId="12" borderId="33" xfId="4" applyFont="1" applyFill="1" applyBorder="1"/>
    <xf numFmtId="167" fontId="16" fillId="12" borderId="33" xfId="5" applyNumberFormat="1" applyFont="1" applyFill="1" applyBorder="1"/>
    <xf numFmtId="0" fontId="16" fillId="12" borderId="34" xfId="4" applyFont="1" applyFill="1" applyBorder="1"/>
    <xf numFmtId="0" fontId="17" fillId="12" borderId="12" xfId="4" applyFont="1" applyFill="1" applyBorder="1" applyAlignment="1">
      <alignment horizontal="left"/>
    </xf>
    <xf numFmtId="0" fontId="38" fillId="12" borderId="12" xfId="4" applyFont="1" applyFill="1" applyBorder="1" applyAlignment="1">
      <alignment horizontal="left"/>
    </xf>
    <xf numFmtId="168" fontId="13" fillId="0" borderId="0" xfId="4" applyNumberFormat="1" applyFont="1"/>
    <xf numFmtId="168" fontId="16" fillId="26" borderId="35" xfId="4" applyNumberFormat="1" applyFont="1" applyFill="1" applyBorder="1"/>
    <xf numFmtId="0" fontId="16" fillId="35" borderId="32" xfId="4" applyFont="1" applyFill="1" applyBorder="1"/>
    <xf numFmtId="0" fontId="16" fillId="35" borderId="33" xfId="4" applyFont="1" applyFill="1" applyBorder="1"/>
    <xf numFmtId="167" fontId="16" fillId="35" borderId="33" xfId="5" applyNumberFormat="1" applyFont="1" applyFill="1" applyBorder="1"/>
    <xf numFmtId="0" fontId="16" fillId="35" borderId="33" xfId="4" applyFont="1" applyFill="1" applyBorder="1" applyAlignment="1">
      <alignment vertical="center"/>
    </xf>
    <xf numFmtId="0" fontId="16" fillId="35" borderId="34" xfId="4" applyFont="1" applyFill="1" applyBorder="1"/>
    <xf numFmtId="0" fontId="17" fillId="35" borderId="12" xfId="4" applyFont="1" applyFill="1" applyBorder="1" applyAlignment="1">
      <alignment horizontal="left"/>
    </xf>
    <xf numFmtId="168" fontId="16" fillId="35" borderId="35" xfId="4" applyNumberFormat="1" applyFont="1" applyFill="1" applyBorder="1"/>
    <xf numFmtId="168" fontId="18" fillId="26" borderId="12" xfId="5" applyNumberFormat="1" applyFont="1" applyFill="1" applyBorder="1" applyAlignment="1">
      <alignment horizontal="center"/>
    </xf>
    <xf numFmtId="3" fontId="29" fillId="11" borderId="12" xfId="0" applyNumberFormat="1" applyFont="1" applyFill="1" applyBorder="1" applyAlignment="1">
      <alignment horizontal="center"/>
    </xf>
    <xf numFmtId="0" fontId="40" fillId="36" borderId="32" xfId="4" applyFont="1" applyFill="1" applyBorder="1"/>
    <xf numFmtId="0" fontId="40" fillId="36" borderId="33" xfId="4" applyFont="1" applyFill="1" applyBorder="1"/>
    <xf numFmtId="167" fontId="40" fillId="36" borderId="33" xfId="5" applyNumberFormat="1" applyFont="1" applyFill="1" applyBorder="1"/>
    <xf numFmtId="0" fontId="40" fillId="36" borderId="34" xfId="4" applyFont="1" applyFill="1" applyBorder="1"/>
    <xf numFmtId="0" fontId="8" fillId="36" borderId="12" xfId="4" applyFont="1" applyFill="1" applyBorder="1" applyAlignment="1">
      <alignment horizontal="left"/>
    </xf>
    <xf numFmtId="0" fontId="40" fillId="37" borderId="32" xfId="4" applyFont="1" applyFill="1" applyBorder="1"/>
    <xf numFmtId="0" fontId="40" fillId="37" borderId="33" xfId="4" applyFont="1" applyFill="1" applyBorder="1"/>
    <xf numFmtId="167" fontId="40" fillId="37" borderId="33" xfId="5" applyNumberFormat="1" applyFont="1" applyFill="1" applyBorder="1"/>
    <xf numFmtId="0" fontId="40" fillId="37" borderId="34" xfId="4" applyFont="1" applyFill="1" applyBorder="1"/>
    <xf numFmtId="0" fontId="8" fillId="37" borderId="12" xfId="4" applyFont="1" applyFill="1" applyBorder="1" applyAlignment="1">
      <alignment horizontal="left"/>
    </xf>
    <xf numFmtId="0" fontId="16" fillId="38" borderId="32" xfId="4" applyFont="1" applyFill="1" applyBorder="1"/>
    <xf numFmtId="0" fontId="16" fillId="38" borderId="33" xfId="4" applyFont="1" applyFill="1" applyBorder="1"/>
    <xf numFmtId="167" fontId="16" fillId="38" borderId="33" xfId="5" applyNumberFormat="1" applyFont="1" applyFill="1" applyBorder="1"/>
    <xf numFmtId="0" fontId="16" fillId="38" borderId="34" xfId="4" applyFont="1" applyFill="1" applyBorder="1"/>
    <xf numFmtId="0" fontId="17" fillId="38" borderId="12" xfId="4" applyFont="1" applyFill="1" applyBorder="1" applyAlignment="1">
      <alignment horizontal="left"/>
    </xf>
    <xf numFmtId="168" fontId="16" fillId="38" borderId="35" xfId="4" applyNumberFormat="1" applyFont="1" applyFill="1" applyBorder="1"/>
    <xf numFmtId="0" fontId="20" fillId="18" borderId="54" xfId="0" applyFont="1" applyFill="1" applyBorder="1"/>
    <xf numFmtId="0" fontId="20" fillId="18" borderId="55" xfId="0" applyFont="1" applyFill="1" applyBorder="1"/>
    <xf numFmtId="0" fontId="20" fillId="18" borderId="43" xfId="0" applyFont="1" applyFill="1" applyBorder="1"/>
    <xf numFmtId="0" fontId="8" fillId="2" borderId="12" xfId="0" applyFont="1" applyFill="1" applyBorder="1" applyAlignment="1">
      <alignment wrapText="1"/>
    </xf>
    <xf numFmtId="0" fontId="8" fillId="2" borderId="25" xfId="0" applyFont="1" applyFill="1" applyBorder="1" applyAlignment="1">
      <alignment wrapText="1"/>
    </xf>
    <xf numFmtId="0" fontId="24" fillId="18" borderId="25" xfId="0" applyFont="1" applyFill="1" applyBorder="1"/>
    <xf numFmtId="0" fontId="8" fillId="2" borderId="25" xfId="0" applyFont="1" applyFill="1" applyBorder="1"/>
    <xf numFmtId="0" fontId="1" fillId="2" borderId="25" xfId="0" applyFont="1" applyFill="1" applyBorder="1"/>
    <xf numFmtId="3" fontId="1" fillId="2" borderId="25" xfId="0" applyNumberFormat="1" applyFont="1" applyFill="1" applyBorder="1"/>
    <xf numFmtId="9" fontId="8" fillId="2" borderId="25" xfId="0" applyNumberFormat="1" applyFont="1" applyFill="1" applyBorder="1"/>
    <xf numFmtId="9" fontId="8" fillId="2" borderId="12" xfId="0" applyNumberFormat="1" applyFont="1" applyFill="1" applyBorder="1" applyAlignment="1">
      <alignment horizontal="right"/>
    </xf>
    <xf numFmtId="0" fontId="8" fillId="2" borderId="56" xfId="0" applyFont="1" applyFill="1" applyBorder="1" applyAlignment="1">
      <alignment wrapText="1"/>
    </xf>
    <xf numFmtId="0" fontId="8" fillId="2" borderId="21" xfId="0" applyFont="1" applyFill="1" applyBorder="1" applyAlignment="1">
      <alignment wrapText="1"/>
    </xf>
    <xf numFmtId="0" fontId="24" fillId="18" borderId="21" xfId="0" applyFont="1" applyFill="1" applyBorder="1"/>
    <xf numFmtId="0" fontId="8" fillId="2" borderId="21" xfId="0" applyFont="1" applyFill="1" applyBorder="1"/>
    <xf numFmtId="3" fontId="1" fillId="2" borderId="21" xfId="0" applyNumberFormat="1" applyFont="1" applyFill="1" applyBorder="1"/>
    <xf numFmtId="0" fontId="1" fillId="2" borderId="21" xfId="0" applyFont="1" applyFill="1" applyBorder="1"/>
    <xf numFmtId="9" fontId="8" fillId="2" borderId="21" xfId="0" applyNumberFormat="1" applyFont="1" applyFill="1" applyBorder="1"/>
    <xf numFmtId="3" fontId="22" fillId="0" borderId="56" xfId="0" applyNumberFormat="1" applyFont="1" applyBorder="1"/>
    <xf numFmtId="0" fontId="1" fillId="2" borderId="25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 vertical="center"/>
    </xf>
    <xf numFmtId="0" fontId="48" fillId="41" borderId="12" xfId="0" applyFont="1" applyFill="1" applyBorder="1" applyAlignment="1">
      <alignment vertical="center"/>
    </xf>
    <xf numFmtId="0" fontId="48" fillId="41" borderId="12" xfId="0" applyFont="1" applyFill="1" applyBorder="1" applyAlignment="1">
      <alignment horizontal="left"/>
    </xf>
    <xf numFmtId="3" fontId="49" fillId="41" borderId="12" xfId="0" applyNumberFormat="1" applyFont="1" applyFill="1" applyBorder="1" applyAlignment="1">
      <alignment horizontal="center"/>
    </xf>
    <xf numFmtId="0" fontId="49" fillId="41" borderId="12" xfId="0" applyFont="1" applyFill="1" applyBorder="1" applyAlignment="1">
      <alignment horizontal="center"/>
    </xf>
    <xf numFmtId="0" fontId="48" fillId="41" borderId="12" xfId="0" applyFont="1" applyFill="1" applyBorder="1" applyAlignment="1">
      <alignment horizontal="center"/>
    </xf>
    <xf numFmtId="0" fontId="50" fillId="0" borderId="0" xfId="0" applyFont="1"/>
    <xf numFmtId="0" fontId="47" fillId="18" borderId="32" xfId="0" applyFont="1" applyFill="1" applyBorder="1"/>
    <xf numFmtId="0" fontId="47" fillId="18" borderId="33" xfId="0" applyFont="1" applyFill="1" applyBorder="1"/>
    <xf numFmtId="0" fontId="47" fillId="18" borderId="34" xfId="0" applyFont="1" applyFill="1" applyBorder="1"/>
    <xf numFmtId="0" fontId="48" fillId="2" borderId="12" xfId="0" applyFont="1" applyFill="1" applyBorder="1" applyAlignment="1">
      <alignment vertical="center"/>
    </xf>
    <xf numFmtId="0" fontId="51" fillId="18" borderId="12" xfId="0" applyFont="1" applyFill="1" applyBorder="1" applyAlignment="1">
      <alignment horizontal="left"/>
    </xf>
    <xf numFmtId="0" fontId="48" fillId="0" borderId="12" xfId="0" applyFont="1" applyBorder="1" applyAlignment="1">
      <alignment horizontal="left"/>
    </xf>
    <xf numFmtId="3" fontId="35" fillId="2" borderId="12" xfId="0" applyNumberFormat="1" applyFont="1" applyFill="1" applyBorder="1" applyAlignment="1">
      <alignment horizontal="center"/>
    </xf>
    <xf numFmtId="0" fontId="35" fillId="2" borderId="12" xfId="0" applyFont="1" applyFill="1" applyBorder="1" applyAlignment="1">
      <alignment horizontal="center"/>
    </xf>
    <xf numFmtId="9" fontId="48" fillId="2" borderId="12" xfId="0" applyNumberFormat="1" applyFont="1" applyFill="1" applyBorder="1" applyAlignment="1">
      <alignment horizontal="center"/>
    </xf>
    <xf numFmtId="0" fontId="48" fillId="2" borderId="12" xfId="0" applyFont="1" applyFill="1" applyBorder="1" applyAlignment="1">
      <alignment vertical="center" wrapText="1"/>
    </xf>
    <xf numFmtId="0" fontId="48" fillId="2" borderId="12" xfId="0" applyFont="1" applyFill="1" applyBorder="1" applyAlignment="1">
      <alignment horizontal="left"/>
    </xf>
    <xf numFmtId="3" fontId="47" fillId="18" borderId="57" xfId="0" applyNumberFormat="1" applyFont="1" applyFill="1" applyBorder="1"/>
    <xf numFmtId="0" fontId="35" fillId="2" borderId="12" xfId="0" applyFont="1" applyFill="1" applyBorder="1" applyAlignment="1">
      <alignment vertical="center"/>
    </xf>
    <xf numFmtId="0" fontId="48" fillId="2" borderId="25" xfId="0" applyFont="1" applyFill="1" applyBorder="1" applyAlignment="1">
      <alignment vertical="center"/>
    </xf>
    <xf numFmtId="0" fontId="50" fillId="2" borderId="12" xfId="0" applyFont="1" applyFill="1" applyBorder="1" applyAlignment="1">
      <alignment horizontal="left"/>
    </xf>
    <xf numFmtId="0" fontId="50" fillId="2" borderId="12" xfId="0" applyFont="1" applyFill="1" applyBorder="1" applyAlignment="1">
      <alignment horizontal="center"/>
    </xf>
    <xf numFmtId="3" fontId="50" fillId="2" borderId="12" xfId="0" applyNumberFormat="1" applyFont="1" applyFill="1" applyBorder="1" applyAlignment="1">
      <alignment horizontal="center"/>
    </xf>
    <xf numFmtId="9" fontId="50" fillId="2" borderId="12" xfId="0" applyNumberFormat="1" applyFont="1" applyFill="1" applyBorder="1" applyAlignment="1">
      <alignment horizontal="center"/>
    </xf>
    <xf numFmtId="3" fontId="50" fillId="2" borderId="12" xfId="0" applyNumberFormat="1" applyFont="1" applyFill="1" applyBorder="1" applyAlignment="1">
      <alignment horizontal="right"/>
    </xf>
    <xf numFmtId="0" fontId="48" fillId="11" borderId="12" xfId="0" applyFont="1" applyFill="1" applyBorder="1" applyAlignment="1">
      <alignment vertical="center"/>
    </xf>
    <xf numFmtId="0" fontId="48" fillId="11" borderId="12" xfId="0" applyFont="1" applyFill="1" applyBorder="1" applyAlignment="1">
      <alignment horizontal="left"/>
    </xf>
    <xf numFmtId="3" fontId="49" fillId="11" borderId="12" xfId="0" applyNumberFormat="1" applyFont="1" applyFill="1" applyBorder="1" applyAlignment="1">
      <alignment horizontal="center"/>
    </xf>
    <xf numFmtId="0" fontId="49" fillId="11" borderId="12" xfId="0" applyFont="1" applyFill="1" applyBorder="1" applyAlignment="1">
      <alignment horizontal="center"/>
    </xf>
    <xf numFmtId="0" fontId="48" fillId="11" borderId="12" xfId="0" applyFont="1" applyFill="1" applyBorder="1" applyAlignment="1">
      <alignment horizontal="center"/>
    </xf>
    <xf numFmtId="0" fontId="22" fillId="6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3" fillId="42" borderId="59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vertical="center" wrapText="1"/>
    </xf>
    <xf numFmtId="6" fontId="1" fillId="43" borderId="60" xfId="0" applyNumberFormat="1" applyFont="1" applyFill="1" applyBorder="1" applyAlignment="1">
      <alignment horizontal="center" vertical="center"/>
    </xf>
    <xf numFmtId="0" fontId="54" fillId="44" borderId="61" xfId="0" applyFont="1" applyFill="1" applyBorder="1" applyAlignment="1">
      <alignment horizontal="right" vertical="center" wrapText="1"/>
    </xf>
    <xf numFmtId="0" fontId="1" fillId="44" borderId="60" xfId="0" applyFont="1" applyFill="1" applyBorder="1" applyAlignment="1">
      <alignment vertical="center" wrapText="1"/>
    </xf>
    <xf numFmtId="6" fontId="1" fillId="45" borderId="60" xfId="0" applyNumberFormat="1" applyFont="1" applyFill="1" applyBorder="1" applyAlignment="1">
      <alignment horizontal="center" vertical="center"/>
    </xf>
    <xf numFmtId="0" fontId="22" fillId="6" borderId="0" xfId="0" applyFont="1" applyFill="1"/>
    <xf numFmtId="0" fontId="53" fillId="42" borderId="59" xfId="0" applyFont="1" applyFill="1" applyBorder="1" applyAlignment="1">
      <alignment horizontal="center"/>
    </xf>
    <xf numFmtId="0" fontId="1" fillId="2" borderId="62" xfId="0" applyFont="1" applyFill="1" applyBorder="1" applyAlignment="1">
      <alignment vertical="center" wrapText="1"/>
    </xf>
    <xf numFmtId="0" fontId="1" fillId="2" borderId="63" xfId="0" applyFont="1" applyFill="1" applyBorder="1" applyAlignment="1">
      <alignment vertical="center" wrapText="1"/>
    </xf>
    <xf numFmtId="0" fontId="1" fillId="2" borderId="60" xfId="0" applyFont="1" applyFill="1" applyBorder="1" applyAlignment="1">
      <alignment vertical="center" wrapText="1"/>
    </xf>
    <xf numFmtId="0" fontId="48" fillId="2" borderId="12" xfId="0" applyFont="1" applyFill="1" applyBorder="1" applyAlignment="1">
      <alignment horizontal="center" vertical="center" wrapText="1"/>
    </xf>
    <xf numFmtId="0" fontId="48" fillId="2" borderId="25" xfId="0" applyFont="1" applyFill="1" applyBorder="1" applyAlignment="1">
      <alignment horizontal="center" vertical="center" wrapText="1"/>
    </xf>
    <xf numFmtId="0" fontId="48" fillId="2" borderId="66" xfId="0" applyFont="1" applyFill="1" applyBorder="1" applyAlignment="1">
      <alignment horizontal="center" vertical="center" wrapText="1"/>
    </xf>
    <xf numFmtId="6" fontId="55" fillId="0" borderId="66" xfId="0" applyNumberFormat="1" applyFont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6" fontId="55" fillId="0" borderId="67" xfId="0" applyNumberFormat="1" applyFont="1" applyBorder="1" applyAlignment="1">
      <alignment horizontal="center" vertical="center"/>
    </xf>
    <xf numFmtId="9" fontId="8" fillId="2" borderId="25" xfId="0" applyNumberFormat="1" applyFont="1" applyFill="1" applyBorder="1" applyAlignment="1">
      <alignment horizontal="center" vertical="center"/>
    </xf>
    <xf numFmtId="0" fontId="48" fillId="2" borderId="12" xfId="0" applyFont="1" applyFill="1" applyBorder="1" applyAlignment="1">
      <alignment horizontal="center" vertical="center"/>
    </xf>
    <xf numFmtId="6" fontId="55" fillId="0" borderId="12" xfId="0" applyNumberFormat="1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48" fillId="2" borderId="69" xfId="0" applyFont="1" applyFill="1" applyBorder="1" applyAlignment="1">
      <alignment horizontal="center" vertical="center"/>
    </xf>
    <xf numFmtId="6" fontId="55" fillId="0" borderId="70" xfId="0" applyNumberFormat="1" applyFont="1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0" fontId="20" fillId="46" borderId="32" xfId="0" applyFont="1" applyFill="1" applyBorder="1"/>
    <xf numFmtId="0" fontId="20" fillId="46" borderId="33" xfId="0" applyFont="1" applyFill="1" applyBorder="1"/>
    <xf numFmtId="0" fontId="20" fillId="46" borderId="65" xfId="0" applyFont="1" applyFill="1" applyBorder="1"/>
    <xf numFmtId="0" fontId="20" fillId="46" borderId="34" xfId="0" applyFont="1" applyFill="1" applyBorder="1"/>
    <xf numFmtId="0" fontId="51" fillId="46" borderId="9" xfId="0" applyFont="1" applyFill="1" applyBorder="1" applyAlignment="1">
      <alignment horizontal="center" vertical="center"/>
    </xf>
    <xf numFmtId="0" fontId="51" fillId="46" borderId="12" xfId="0" applyFont="1" applyFill="1" applyBorder="1" applyAlignment="1">
      <alignment horizontal="center" vertical="center"/>
    </xf>
    <xf numFmtId="0" fontId="51" fillId="46" borderId="20" xfId="0" applyFont="1" applyFill="1" applyBorder="1" applyAlignment="1">
      <alignment horizontal="center" vertical="center"/>
    </xf>
    <xf numFmtId="6" fontId="56" fillId="46" borderId="0" xfId="0" applyNumberFormat="1" applyFont="1" applyFill="1"/>
    <xf numFmtId="6" fontId="1" fillId="47" borderId="12" xfId="0" applyNumberFormat="1" applyFont="1" applyFill="1" applyBorder="1" applyAlignment="1">
      <alignment horizontal="center"/>
    </xf>
    <xf numFmtId="6" fontId="1" fillId="47" borderId="12" xfId="0" applyNumberFormat="1" applyFont="1" applyFill="1" applyBorder="1" applyAlignment="1">
      <alignment horizontal="center" vertical="center"/>
    </xf>
    <xf numFmtId="164" fontId="1" fillId="47" borderId="12" xfId="1" applyNumberFormat="1" applyFont="1" applyFill="1" applyBorder="1" applyAlignment="1">
      <alignment horizontal="center"/>
    </xf>
    <xf numFmtId="166" fontId="1" fillId="47" borderId="12" xfId="3" applyNumberFormat="1" applyFont="1" applyFill="1" applyBorder="1" applyAlignment="1">
      <alignment horizontal="center"/>
    </xf>
    <xf numFmtId="0" fontId="57" fillId="48" borderId="0" xfId="0" applyFont="1" applyFill="1" applyAlignment="1">
      <alignment vertical="center"/>
    </xf>
    <xf numFmtId="0" fontId="27" fillId="41" borderId="0" xfId="0" applyFont="1" applyFill="1" applyAlignment="1">
      <alignment vertical="center"/>
    </xf>
    <xf numFmtId="6" fontId="27" fillId="41" borderId="0" xfId="0" applyNumberFormat="1" applyFont="1" applyFill="1" applyAlignment="1">
      <alignment vertical="center"/>
    </xf>
    <xf numFmtId="0" fontId="27" fillId="41" borderId="0" xfId="0" applyFont="1" applyFill="1" applyAlignment="1">
      <alignment horizontal="center" vertical="center"/>
    </xf>
    <xf numFmtId="0" fontId="27" fillId="41" borderId="0" xfId="0" applyFont="1" applyFill="1" applyAlignment="1">
      <alignment vertical="center" wrapText="1"/>
    </xf>
    <xf numFmtId="0" fontId="27" fillId="49" borderId="0" xfId="0" applyFont="1" applyFill="1" applyAlignment="1">
      <alignment vertical="center"/>
    </xf>
    <xf numFmtId="6" fontId="27" fillId="49" borderId="0" xfId="0" applyNumberFormat="1" applyFont="1" applyFill="1" applyAlignment="1">
      <alignment vertical="center"/>
    </xf>
    <xf numFmtId="0" fontId="27" fillId="49" borderId="0" xfId="0" applyFont="1" applyFill="1" applyAlignment="1">
      <alignment horizontal="center" vertical="center"/>
    </xf>
    <xf numFmtId="0" fontId="27" fillId="2" borderId="0" xfId="0" applyFont="1" applyFill="1"/>
    <xf numFmtId="0" fontId="27" fillId="44" borderId="0" xfId="0" applyFont="1" applyFill="1" applyAlignment="1">
      <alignment vertical="center"/>
    </xf>
    <xf numFmtId="6" fontId="27" fillId="44" borderId="0" xfId="0" applyNumberFormat="1" applyFont="1" applyFill="1" applyAlignment="1">
      <alignment vertical="center"/>
    </xf>
    <xf numFmtId="0" fontId="27" fillId="44" borderId="0" xfId="0" applyFont="1" applyFill="1" applyAlignment="1">
      <alignment vertical="center" wrapText="1"/>
    </xf>
    <xf numFmtId="0" fontId="27" fillId="50" borderId="0" xfId="0" applyFont="1" applyFill="1" applyAlignment="1">
      <alignment vertical="center"/>
    </xf>
    <xf numFmtId="6" fontId="27" fillId="50" borderId="0" xfId="0" applyNumberFormat="1" applyFont="1" applyFill="1" applyAlignment="1">
      <alignment vertical="center"/>
    </xf>
    <xf numFmtId="0" fontId="27" fillId="50" borderId="0" xfId="0" applyFont="1" applyFill="1" applyAlignment="1">
      <alignment vertical="center" wrapText="1"/>
    </xf>
    <xf numFmtId="0" fontId="27" fillId="51" borderId="0" xfId="0" applyFont="1" applyFill="1" applyAlignment="1">
      <alignment vertical="center"/>
    </xf>
    <xf numFmtId="6" fontId="27" fillId="51" borderId="0" xfId="0" applyNumberFormat="1" applyFont="1" applyFill="1" applyAlignment="1">
      <alignment vertical="center"/>
    </xf>
    <xf numFmtId="0" fontId="27" fillId="52" borderId="0" xfId="0" applyFont="1" applyFill="1" applyAlignment="1">
      <alignment vertical="center"/>
    </xf>
    <xf numFmtId="6" fontId="27" fillId="52" borderId="0" xfId="0" applyNumberFormat="1" applyFont="1" applyFill="1" applyAlignment="1">
      <alignment vertical="center"/>
    </xf>
    <xf numFmtId="0" fontId="27" fillId="53" borderId="0" xfId="0" applyFont="1" applyFill="1" applyAlignment="1">
      <alignment vertical="center"/>
    </xf>
    <xf numFmtId="6" fontId="27" fillId="53" borderId="0" xfId="0" applyNumberFormat="1" applyFont="1" applyFill="1" applyAlignment="1">
      <alignment vertical="center"/>
    </xf>
    <xf numFmtId="6" fontId="1" fillId="15" borderId="12" xfId="0" applyNumberFormat="1" applyFont="1" applyFill="1" applyBorder="1" applyAlignment="1">
      <alignment horizontal="center"/>
    </xf>
    <xf numFmtId="6" fontId="30" fillId="0" borderId="0" xfId="0" applyNumberFormat="1" applyFont="1"/>
    <xf numFmtId="0" fontId="3" fillId="5" borderId="13" xfId="0" applyFont="1" applyFill="1" applyBorder="1" applyAlignment="1">
      <alignment horizontal="center" vertical="center" textRotation="90"/>
    </xf>
    <xf numFmtId="0" fontId="3" fillId="5" borderId="14" xfId="0" applyFont="1" applyFill="1" applyBorder="1" applyAlignment="1">
      <alignment horizontal="center" vertical="center" textRotation="90"/>
    </xf>
    <xf numFmtId="0" fontId="3" fillId="9" borderId="13" xfId="0" applyFont="1" applyFill="1" applyBorder="1" applyAlignment="1">
      <alignment horizontal="center" vertical="center" textRotation="90"/>
    </xf>
    <xf numFmtId="0" fontId="3" fillId="9" borderId="14" xfId="0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/>
    </xf>
    <xf numFmtId="0" fontId="3" fillId="29" borderId="10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textRotation="90"/>
    </xf>
    <xf numFmtId="0" fontId="3" fillId="7" borderId="7" xfId="0" applyFont="1" applyFill="1" applyBorder="1" applyAlignment="1">
      <alignment horizontal="center" vertical="center" textRotation="90"/>
    </xf>
    <xf numFmtId="0" fontId="3" fillId="7" borderId="8" xfId="0" applyFont="1" applyFill="1" applyBorder="1" applyAlignment="1">
      <alignment horizontal="center" vertical="center" textRotation="90"/>
    </xf>
    <xf numFmtId="6" fontId="10" fillId="30" borderId="12" xfId="0" applyNumberFormat="1" applyFont="1" applyFill="1" applyBorder="1" applyAlignment="1">
      <alignment horizontal="center"/>
    </xf>
    <xf numFmtId="0" fontId="3" fillId="28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textRotation="90"/>
    </xf>
    <xf numFmtId="6" fontId="2" fillId="0" borderId="12" xfId="0" applyNumberFormat="1" applyFont="1" applyBorder="1" applyAlignment="1">
      <alignment horizontal="center"/>
    </xf>
    <xf numFmtId="0" fontId="3" fillId="7" borderId="14" xfId="0" applyFont="1" applyFill="1" applyBorder="1" applyAlignment="1">
      <alignment horizontal="center" vertical="center" textRotation="90" wrapText="1"/>
    </xf>
    <xf numFmtId="0" fontId="3" fillId="21" borderId="13" xfId="0" applyFont="1" applyFill="1" applyBorder="1" applyAlignment="1">
      <alignment horizontal="center" vertical="center" textRotation="90" wrapText="1"/>
    </xf>
    <xf numFmtId="0" fontId="3" fillId="21" borderId="14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/>
    </xf>
    <xf numFmtId="0" fontId="3" fillId="20" borderId="14" xfId="0" applyFont="1" applyFill="1" applyBorder="1" applyAlignment="1">
      <alignment horizontal="center" vertical="center" textRotation="90" wrapText="1"/>
    </xf>
    <xf numFmtId="0" fontId="3" fillId="14" borderId="12" xfId="0" applyFont="1" applyFill="1" applyBorder="1" applyAlignment="1">
      <alignment horizontal="center" vertical="center" textRotation="90"/>
    </xf>
    <xf numFmtId="165" fontId="1" fillId="47" borderId="12" xfId="1" applyNumberFormat="1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 textRotation="90"/>
    </xf>
    <xf numFmtId="0" fontId="3" fillId="12" borderId="14" xfId="0" applyFont="1" applyFill="1" applyBorder="1" applyAlignment="1">
      <alignment horizontal="center" vertical="center" textRotation="90"/>
    </xf>
    <xf numFmtId="0" fontId="3" fillId="9" borderId="9" xfId="0" applyFont="1" applyFill="1" applyBorder="1" applyAlignment="1">
      <alignment horizontal="center" vertical="center" textRotation="90"/>
    </xf>
    <xf numFmtId="0" fontId="3" fillId="9" borderId="0" xfId="0" applyFont="1" applyFill="1" applyAlignment="1">
      <alignment horizontal="center" vertical="center" textRotation="90"/>
    </xf>
    <xf numFmtId="0" fontId="3" fillId="11" borderId="12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6" fontId="35" fillId="27" borderId="27" xfId="0" applyNumberFormat="1" applyFont="1" applyFill="1" applyBorder="1" applyAlignment="1">
      <alignment horizontal="center" vertical="center" wrapText="1"/>
    </xf>
    <xf numFmtId="6" fontId="35" fillId="27" borderId="28" xfId="0" applyNumberFormat="1" applyFont="1" applyFill="1" applyBorder="1" applyAlignment="1">
      <alignment horizontal="center" vertical="center" wrapText="1"/>
    </xf>
    <xf numFmtId="6" fontId="35" fillId="27" borderId="25" xfId="0" applyNumberFormat="1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textRotation="90" wrapText="1"/>
    </xf>
    <xf numFmtId="6" fontId="35" fillId="27" borderId="12" xfId="0" applyNumberFormat="1" applyFont="1" applyFill="1" applyBorder="1" applyAlignment="1">
      <alignment horizontal="center" vertical="center" wrapText="1"/>
    </xf>
    <xf numFmtId="164" fontId="1" fillId="27" borderId="15" xfId="1" applyNumberFormat="1" applyFont="1" applyFill="1" applyBorder="1" applyAlignment="1">
      <alignment horizontal="center" vertical="center"/>
    </xf>
    <xf numFmtId="164" fontId="1" fillId="27" borderId="9" xfId="1" applyNumberFormat="1" applyFont="1" applyFill="1" applyBorder="1" applyAlignment="1">
      <alignment horizontal="center" vertical="center"/>
    </xf>
    <xf numFmtId="164" fontId="1" fillId="27" borderId="16" xfId="1" applyNumberFormat="1" applyFont="1" applyFill="1" applyBorder="1" applyAlignment="1">
      <alignment horizontal="center" vertical="center"/>
    </xf>
    <xf numFmtId="164" fontId="1" fillId="27" borderId="17" xfId="1" applyNumberFormat="1" applyFont="1" applyFill="1" applyBorder="1" applyAlignment="1">
      <alignment horizontal="center" vertical="center"/>
    </xf>
    <xf numFmtId="164" fontId="1" fillId="27" borderId="0" xfId="1" applyNumberFormat="1" applyFont="1" applyFill="1" applyBorder="1" applyAlignment="1">
      <alignment horizontal="center" vertical="center"/>
    </xf>
    <xf numFmtId="164" fontId="1" fillId="27" borderId="18" xfId="1" applyNumberFormat="1" applyFont="1" applyFill="1" applyBorder="1" applyAlignment="1">
      <alignment horizontal="center" vertical="center"/>
    </xf>
    <xf numFmtId="164" fontId="1" fillId="27" borderId="19" xfId="1" applyNumberFormat="1" applyFont="1" applyFill="1" applyBorder="1" applyAlignment="1">
      <alignment horizontal="center" vertical="center"/>
    </xf>
    <xf numFmtId="164" fontId="1" fillId="27" borderId="20" xfId="1" applyNumberFormat="1" applyFont="1" applyFill="1" applyBorder="1" applyAlignment="1">
      <alignment horizontal="center" vertical="center"/>
    </xf>
    <xf numFmtId="164" fontId="1" fillId="27" borderId="21" xfId="1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 textRotation="90"/>
    </xf>
    <xf numFmtId="0" fontId="3" fillId="5" borderId="0" xfId="0" applyFont="1" applyFill="1" applyAlignment="1">
      <alignment horizontal="center" vertical="center" textRotation="90"/>
    </xf>
    <xf numFmtId="0" fontId="3" fillId="14" borderId="51" xfId="0" applyFont="1" applyFill="1" applyBorder="1" applyAlignment="1">
      <alignment horizontal="center" vertical="center" textRotation="90"/>
    </xf>
    <xf numFmtId="0" fontId="3" fillId="14" borderId="18" xfId="0" applyFont="1" applyFill="1" applyBorder="1" applyAlignment="1">
      <alignment horizontal="center" vertical="center" textRotation="90"/>
    </xf>
    <xf numFmtId="0" fontId="15" fillId="32" borderId="29" xfId="4" applyFont="1" applyFill="1" applyBorder="1" applyAlignment="1">
      <alignment horizontal="center"/>
    </xf>
    <xf numFmtId="0" fontId="15" fillId="32" borderId="30" xfId="4" applyFont="1" applyFill="1" applyBorder="1" applyAlignment="1">
      <alignment horizontal="center"/>
    </xf>
    <xf numFmtId="0" fontId="15" fillId="32" borderId="31" xfId="4" applyFont="1" applyFill="1" applyBorder="1" applyAlignment="1">
      <alignment horizontal="center"/>
    </xf>
    <xf numFmtId="0" fontId="28" fillId="18" borderId="29" xfId="0" applyFont="1" applyFill="1" applyBorder="1" applyAlignment="1">
      <alignment horizontal="center"/>
    </xf>
    <xf numFmtId="0" fontId="28" fillId="18" borderId="30" xfId="0" applyFont="1" applyFill="1" applyBorder="1" applyAlignment="1">
      <alignment horizontal="center"/>
    </xf>
    <xf numFmtId="0" fontId="23" fillId="18" borderId="36" xfId="0" applyFont="1" applyFill="1" applyBorder="1" applyAlignment="1">
      <alignment horizontal="center"/>
    </xf>
    <xf numFmtId="0" fontId="23" fillId="18" borderId="30" xfId="0" applyFont="1" applyFill="1" applyBorder="1" applyAlignment="1">
      <alignment horizontal="center"/>
    </xf>
    <xf numFmtId="0" fontId="15" fillId="19" borderId="29" xfId="4" applyFont="1" applyFill="1" applyBorder="1" applyAlignment="1">
      <alignment horizontal="center"/>
    </xf>
    <xf numFmtId="0" fontId="15" fillId="19" borderId="30" xfId="4" applyFont="1" applyFill="1" applyBorder="1" applyAlignment="1">
      <alignment horizontal="center"/>
    </xf>
    <xf numFmtId="0" fontId="15" fillId="19" borderId="31" xfId="4" applyFont="1" applyFill="1" applyBorder="1" applyAlignment="1">
      <alignment horizontal="center"/>
    </xf>
    <xf numFmtId="0" fontId="19" fillId="7" borderId="29" xfId="4" applyFont="1" applyFill="1" applyBorder="1" applyAlignment="1">
      <alignment horizontal="center"/>
    </xf>
    <xf numFmtId="0" fontId="15" fillId="7" borderId="30" xfId="4" applyFont="1" applyFill="1" applyBorder="1" applyAlignment="1">
      <alignment horizontal="center"/>
    </xf>
    <xf numFmtId="0" fontId="15" fillId="7" borderId="31" xfId="4" applyFont="1" applyFill="1" applyBorder="1" applyAlignment="1">
      <alignment horizontal="center"/>
    </xf>
    <xf numFmtId="0" fontId="19" fillId="32" borderId="29" xfId="4" applyFont="1" applyFill="1" applyBorder="1" applyAlignment="1">
      <alignment horizontal="center"/>
    </xf>
    <xf numFmtId="0" fontId="19" fillId="16" borderId="29" xfId="4" applyFont="1" applyFill="1" applyBorder="1" applyAlignment="1">
      <alignment horizontal="center"/>
    </xf>
    <xf numFmtId="0" fontId="15" fillId="16" borderId="30" xfId="4" applyFont="1" applyFill="1" applyBorder="1" applyAlignment="1">
      <alignment horizontal="center"/>
    </xf>
    <xf numFmtId="0" fontId="15" fillId="16" borderId="31" xfId="4" applyFont="1" applyFill="1" applyBorder="1" applyAlignment="1">
      <alignment horizontal="center"/>
    </xf>
    <xf numFmtId="0" fontId="19" fillId="25" borderId="29" xfId="4" applyFont="1" applyFill="1" applyBorder="1" applyAlignment="1">
      <alignment horizontal="center"/>
    </xf>
    <xf numFmtId="0" fontId="15" fillId="25" borderId="30" xfId="4" applyFont="1" applyFill="1" applyBorder="1" applyAlignment="1">
      <alignment horizontal="center"/>
    </xf>
    <xf numFmtId="0" fontId="15" fillId="25" borderId="31" xfId="4" applyFont="1" applyFill="1" applyBorder="1" applyAlignment="1">
      <alignment horizontal="center"/>
    </xf>
    <xf numFmtId="0" fontId="15" fillId="16" borderId="29" xfId="4" applyFont="1" applyFill="1" applyBorder="1" applyAlignment="1">
      <alignment horizontal="center"/>
    </xf>
    <xf numFmtId="0" fontId="19" fillId="18" borderId="29" xfId="0" applyFont="1" applyFill="1" applyBorder="1" applyAlignment="1">
      <alignment horizontal="center"/>
    </xf>
    <xf numFmtId="0" fontId="19" fillId="18" borderId="30" xfId="0" applyFont="1" applyFill="1" applyBorder="1" applyAlignment="1">
      <alignment horizontal="center"/>
    </xf>
    <xf numFmtId="0" fontId="58" fillId="16" borderId="29" xfId="4" applyFont="1" applyFill="1" applyBorder="1" applyAlignment="1">
      <alignment horizontal="center"/>
    </xf>
    <xf numFmtId="0" fontId="58" fillId="16" borderId="30" xfId="4" applyFont="1" applyFill="1" applyBorder="1" applyAlignment="1">
      <alignment horizontal="center"/>
    </xf>
    <xf numFmtId="0" fontId="58" fillId="16" borderId="31" xfId="4" applyFont="1" applyFill="1" applyBorder="1" applyAlignment="1">
      <alignment horizontal="center"/>
    </xf>
    <xf numFmtId="0" fontId="16" fillId="16" borderId="29" xfId="4" applyFont="1" applyFill="1" applyBorder="1" applyAlignment="1">
      <alignment horizontal="center"/>
    </xf>
    <xf numFmtId="0" fontId="16" fillId="16" borderId="30" xfId="4" applyFont="1" applyFill="1" applyBorder="1" applyAlignment="1">
      <alignment horizontal="center"/>
    </xf>
    <xf numFmtId="0" fontId="16" fillId="16" borderId="31" xfId="4" applyFont="1" applyFill="1" applyBorder="1" applyAlignment="1">
      <alignment horizontal="center"/>
    </xf>
    <xf numFmtId="0" fontId="15" fillId="31" borderId="29" xfId="4" applyFont="1" applyFill="1" applyBorder="1" applyAlignment="1">
      <alignment horizontal="center"/>
    </xf>
    <xf numFmtId="0" fontId="15" fillId="31" borderId="30" xfId="4" applyFont="1" applyFill="1" applyBorder="1" applyAlignment="1">
      <alignment horizontal="center"/>
    </xf>
    <xf numFmtId="0" fontId="15" fillId="31" borderId="31" xfId="4" applyFont="1" applyFill="1" applyBorder="1" applyAlignment="1">
      <alignment horizontal="center"/>
    </xf>
    <xf numFmtId="0" fontId="42" fillId="37" borderId="29" xfId="4" applyFont="1" applyFill="1" applyBorder="1" applyAlignment="1">
      <alignment horizontal="center"/>
    </xf>
    <xf numFmtId="0" fontId="42" fillId="37" borderId="30" xfId="4" applyFont="1" applyFill="1" applyBorder="1" applyAlignment="1">
      <alignment horizontal="center"/>
    </xf>
    <xf numFmtId="0" fontId="42" fillId="37" borderId="31" xfId="4" applyFont="1" applyFill="1" applyBorder="1" applyAlignment="1">
      <alignment horizontal="center"/>
    </xf>
    <xf numFmtId="0" fontId="15" fillId="38" borderId="29" xfId="4" applyFont="1" applyFill="1" applyBorder="1" applyAlignment="1">
      <alignment horizontal="center"/>
    </xf>
    <xf numFmtId="0" fontId="15" fillId="38" borderId="30" xfId="4" applyFont="1" applyFill="1" applyBorder="1" applyAlignment="1">
      <alignment horizontal="center"/>
    </xf>
    <xf numFmtId="0" fontId="15" fillId="38" borderId="31" xfId="4" applyFont="1" applyFill="1" applyBorder="1" applyAlignment="1">
      <alignment horizontal="center"/>
    </xf>
    <xf numFmtId="0" fontId="41" fillId="36" borderId="29" xfId="4" applyFont="1" applyFill="1" applyBorder="1" applyAlignment="1">
      <alignment horizontal="center"/>
    </xf>
    <xf numFmtId="0" fontId="41" fillId="36" borderId="30" xfId="4" applyFont="1" applyFill="1" applyBorder="1" applyAlignment="1">
      <alignment horizontal="center"/>
    </xf>
    <xf numFmtId="0" fontId="41" fillId="36" borderId="31" xfId="4" applyFont="1" applyFill="1" applyBorder="1" applyAlignment="1">
      <alignment horizontal="center"/>
    </xf>
    <xf numFmtId="0" fontId="39" fillId="36" borderId="29" xfId="4" applyFont="1" applyFill="1" applyBorder="1" applyAlignment="1">
      <alignment horizontal="center"/>
    </xf>
    <xf numFmtId="0" fontId="39" fillId="36" borderId="30" xfId="4" applyFont="1" applyFill="1" applyBorder="1" applyAlignment="1">
      <alignment horizontal="center"/>
    </xf>
    <xf numFmtId="0" fontId="39" fillId="36" borderId="31" xfId="4" applyFont="1" applyFill="1" applyBorder="1" applyAlignment="1">
      <alignment horizontal="center"/>
    </xf>
    <xf numFmtId="0" fontId="19" fillId="46" borderId="29" xfId="0" applyFont="1" applyFill="1" applyBorder="1" applyAlignment="1">
      <alignment horizontal="center"/>
    </xf>
    <xf numFmtId="0" fontId="19" fillId="46" borderId="30" xfId="0" applyFont="1" applyFill="1" applyBorder="1" applyAlignment="1">
      <alignment horizontal="center"/>
    </xf>
    <xf numFmtId="0" fontId="15" fillId="12" borderId="29" xfId="4" applyFont="1" applyFill="1" applyBorder="1" applyAlignment="1">
      <alignment horizontal="center"/>
    </xf>
    <xf numFmtId="0" fontId="15" fillId="12" borderId="30" xfId="4" applyFont="1" applyFill="1" applyBorder="1" applyAlignment="1">
      <alignment horizontal="center"/>
    </xf>
    <xf numFmtId="0" fontId="15" fillId="12" borderId="31" xfId="4" applyFont="1" applyFill="1" applyBorder="1" applyAlignment="1">
      <alignment horizontal="center"/>
    </xf>
    <xf numFmtId="0" fontId="27" fillId="0" borderId="37" xfId="0" applyFont="1" applyBorder="1" applyAlignment="1">
      <alignment vertical="center"/>
    </xf>
    <xf numFmtId="0" fontId="19" fillId="34" borderId="29" xfId="0" applyFont="1" applyFill="1" applyBorder="1" applyAlignment="1">
      <alignment horizontal="center"/>
    </xf>
    <xf numFmtId="0" fontId="19" fillId="34" borderId="30" xfId="0" applyFont="1" applyFill="1" applyBorder="1" applyAlignment="1">
      <alignment horizontal="center"/>
    </xf>
    <xf numFmtId="0" fontId="19" fillId="22" borderId="29" xfId="0" applyFont="1" applyFill="1" applyBorder="1" applyAlignment="1">
      <alignment horizontal="center"/>
    </xf>
    <xf numFmtId="0" fontId="19" fillId="22" borderId="30" xfId="0" applyFont="1" applyFill="1" applyBorder="1" applyAlignment="1">
      <alignment horizontal="center"/>
    </xf>
    <xf numFmtId="0" fontId="0" fillId="26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2" borderId="62" xfId="0" applyFont="1" applyFill="1" applyBorder="1" applyAlignment="1">
      <alignment vertical="center" wrapText="1"/>
    </xf>
    <xf numFmtId="0" fontId="5" fillId="2" borderId="63" xfId="0" applyFont="1" applyFill="1" applyBorder="1" applyAlignment="1">
      <alignment vertical="center" wrapText="1"/>
    </xf>
    <xf numFmtId="6" fontId="1" fillId="43" borderId="64" xfId="0" applyNumberFormat="1" applyFont="1" applyFill="1" applyBorder="1" applyAlignment="1">
      <alignment horizontal="center" vertical="center"/>
    </xf>
    <xf numFmtId="6" fontId="1" fillId="43" borderId="63" xfId="0" applyNumberFormat="1" applyFont="1" applyFill="1" applyBorder="1" applyAlignment="1">
      <alignment horizontal="center" vertical="center"/>
    </xf>
    <xf numFmtId="0" fontId="45" fillId="40" borderId="29" xfId="0" applyFont="1" applyFill="1" applyBorder="1" applyAlignment="1">
      <alignment horizontal="center"/>
    </xf>
    <xf numFmtId="0" fontId="45" fillId="40" borderId="30" xfId="0" applyFont="1" applyFill="1" applyBorder="1" applyAlignment="1">
      <alignment horizontal="center"/>
    </xf>
    <xf numFmtId="0" fontId="44" fillId="18" borderId="30" xfId="0" applyFont="1" applyFill="1" applyBorder="1" applyAlignment="1">
      <alignment horizontal="center"/>
    </xf>
    <xf numFmtId="0" fontId="47" fillId="18" borderId="46" xfId="0" applyFont="1" applyFill="1" applyBorder="1" applyAlignment="1">
      <alignment horizontal="center"/>
    </xf>
    <xf numFmtId="0" fontId="47" fillId="18" borderId="28" xfId="0" applyFont="1" applyFill="1" applyBorder="1" applyAlignment="1">
      <alignment horizontal="center"/>
    </xf>
    <xf numFmtId="0" fontId="43" fillId="11" borderId="29" xfId="0" applyFont="1" applyFill="1" applyBorder="1" applyAlignment="1">
      <alignment horizontal="center" vertical="center"/>
    </xf>
    <xf numFmtId="0" fontId="43" fillId="11" borderId="30" xfId="0" applyFont="1" applyFill="1" applyBorder="1" applyAlignment="1">
      <alignment horizontal="center" vertical="center"/>
    </xf>
    <xf numFmtId="0" fontId="45" fillId="34" borderId="29" xfId="0" applyFont="1" applyFill="1" applyBorder="1" applyAlignment="1">
      <alignment horizontal="center"/>
    </xf>
    <xf numFmtId="0" fontId="45" fillId="34" borderId="30" xfId="0" applyFont="1" applyFill="1" applyBorder="1" applyAlignment="1">
      <alignment horizontal="center"/>
    </xf>
    <xf numFmtId="0" fontId="46" fillId="39" borderId="29" xfId="0" applyFont="1" applyFill="1" applyBorder="1" applyAlignment="1">
      <alignment horizontal="center"/>
    </xf>
    <xf numFmtId="0" fontId="46" fillId="39" borderId="30" xfId="0" applyFont="1" applyFill="1" applyBorder="1" applyAlignment="1">
      <alignment horizontal="center"/>
    </xf>
    <xf numFmtId="0" fontId="47" fillId="18" borderId="47" xfId="0" applyFont="1" applyFill="1" applyBorder="1" applyAlignment="1">
      <alignment horizontal="center"/>
    </xf>
    <xf numFmtId="0" fontId="47" fillId="18" borderId="58" xfId="0" applyFont="1" applyFill="1" applyBorder="1" applyAlignment="1">
      <alignment horizontal="center"/>
    </xf>
    <xf numFmtId="0" fontId="52" fillId="39" borderId="41" xfId="0" applyFont="1" applyFill="1" applyBorder="1" applyAlignment="1">
      <alignment horizontal="center"/>
    </xf>
    <xf numFmtId="0" fontId="52" fillId="39" borderId="37" xfId="0" applyFont="1" applyFill="1" applyBorder="1" applyAlignment="1">
      <alignment horizontal="center"/>
    </xf>
    <xf numFmtId="0" fontId="19" fillId="39" borderId="41" xfId="0" applyFont="1" applyFill="1" applyBorder="1" applyAlignment="1">
      <alignment horizontal="center" vertical="center"/>
    </xf>
    <xf numFmtId="0" fontId="19" fillId="39" borderId="37" xfId="0" applyFont="1" applyFill="1" applyBorder="1" applyAlignment="1">
      <alignment horizontal="center" vertical="center"/>
    </xf>
    <xf numFmtId="0" fontId="15" fillId="35" borderId="29" xfId="4" applyFont="1" applyFill="1" applyBorder="1" applyAlignment="1">
      <alignment horizontal="center"/>
    </xf>
    <xf numFmtId="0" fontId="15" fillId="35" borderId="30" xfId="4" applyFont="1" applyFill="1" applyBorder="1" applyAlignment="1">
      <alignment horizontal="center"/>
    </xf>
    <xf numFmtId="0" fontId="15" fillId="35" borderId="31" xfId="4" applyFont="1" applyFill="1" applyBorder="1" applyAlignment="1">
      <alignment horizontal="center"/>
    </xf>
    <xf numFmtId="0" fontId="33" fillId="23" borderId="36" xfId="0" applyFont="1" applyFill="1" applyBorder="1" applyAlignment="1">
      <alignment horizontal="center" vertical="center"/>
    </xf>
    <xf numFmtId="0" fontId="33" fillId="23" borderId="30" xfId="0" applyFont="1" applyFill="1" applyBorder="1" applyAlignment="1">
      <alignment horizontal="center" vertical="center"/>
    </xf>
    <xf numFmtId="0" fontId="33" fillId="23" borderId="38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0" fillId="0" borderId="40" xfId="0" applyNumberFormat="1" applyBorder="1" applyAlignment="1">
      <alignment horizontal="center" vertical="center"/>
    </xf>
  </cellXfs>
  <cellStyles count="8">
    <cellStyle name="Millares" xfId="1" builtinId="3"/>
    <cellStyle name="Millares 2" xfId="6" xr:uid="{98E74CB0-2701-4C17-AA40-56916E437CDB}"/>
    <cellStyle name="Millares 3" xfId="5" xr:uid="{4D02C37D-67FE-4577-8574-029DCE0B89A1}"/>
    <cellStyle name="Moneda" xfId="3" builtinId="4"/>
    <cellStyle name="Normal" xfId="0" builtinId="0"/>
    <cellStyle name="Normal 2" xfId="2" xr:uid="{A4022CD6-9F54-44DD-8A12-C4EA1B9978AD}"/>
    <cellStyle name="Normal 3" xfId="4" xr:uid="{995D6938-D41C-4294-AF34-2446604289AE}"/>
    <cellStyle name="Porcentaje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704850</xdr:colOff>
      <xdr:row>1</xdr:row>
      <xdr:rowOff>8835</xdr:rowOff>
    </xdr:from>
    <xdr:to>
      <xdr:col>1</xdr:col>
      <xdr:colOff>2447925</xdr:colOff>
      <xdr:row>4</xdr:row>
      <xdr:rowOff>38100</xdr:rowOff>
    </xdr:to>
    <xdr:pic>
      <xdr:nvPicPr>
        <xdr:cNvPr id="2" name="Picture 6" descr="A black background with yellow text&#10;&#10;Description automatically generated">
          <a:extLst>
            <a:ext uri="{FF2B5EF4-FFF2-40B4-BE49-F238E27FC236}">
              <a16:creationId xmlns:a16="http://schemas.microsoft.com/office/drawing/2014/main" id="{8EF7803E-54F5-1930-C61B-A25967A85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170760"/>
          <a:ext cx="1743075" cy="572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</xdr:row>
      <xdr:rowOff>27885</xdr:rowOff>
    </xdr:from>
    <xdr:to>
      <xdr:col>1</xdr:col>
      <xdr:colOff>2114550</xdr:colOff>
      <xdr:row>4</xdr:row>
      <xdr:rowOff>57150</xdr:rowOff>
    </xdr:to>
    <xdr:pic>
      <xdr:nvPicPr>
        <xdr:cNvPr id="4" name="Picture 6" descr="A black background with yellow text&#10;&#10;Description automatically generated">
          <a:extLst>
            <a:ext uri="{FF2B5EF4-FFF2-40B4-BE49-F238E27FC236}">
              <a16:creationId xmlns:a16="http://schemas.microsoft.com/office/drawing/2014/main" id="{2B336DC7-80ED-4D75-91D6-8A7F327EB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89810"/>
          <a:ext cx="1743075" cy="5721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E88F-EE68-4199-84E8-DF2D7B48577C}">
  <dimension ref="A2:S157"/>
  <sheetViews>
    <sheetView showGridLines="0" tabSelected="1" zoomScale="110" zoomScaleNormal="110" workbookViewId="0">
      <pane xSplit="2" ySplit="4" topLeftCell="D68" activePane="bottomRight" state="frozen"/>
      <selection pane="topRight" activeCell="C1" sqref="C1"/>
      <selection pane="bottomLeft" activeCell="A5" sqref="A5"/>
      <selection pane="bottomRight" activeCell="R68" sqref="R68"/>
    </sheetView>
  </sheetViews>
  <sheetFormatPr baseColWidth="10" defaultRowHeight="12.75" x14ac:dyDescent="0.2"/>
  <cols>
    <col min="1" max="1" width="4" style="3" customWidth="1"/>
    <col min="2" max="2" width="56.140625" style="3" customWidth="1"/>
    <col min="3" max="3" width="17" style="3" customWidth="1"/>
    <col min="4" max="5" width="14.28515625" style="3" customWidth="1"/>
    <col min="6" max="6" width="14.28515625" style="3" hidden="1" customWidth="1"/>
    <col min="7" max="9" width="14.28515625" style="3" customWidth="1"/>
    <col min="10" max="10" width="16.140625" style="3" customWidth="1"/>
    <col min="11" max="11" width="14.42578125" style="3" hidden="1" customWidth="1"/>
    <col min="12" max="13" width="11.42578125" style="3" hidden="1" customWidth="1"/>
    <col min="14" max="14" width="12.28515625" style="3" hidden="1" customWidth="1"/>
    <col min="15" max="17" width="11.42578125" style="3" hidden="1" customWidth="1"/>
    <col min="18" max="16384" width="11.42578125" style="3"/>
  </cols>
  <sheetData>
    <row r="2" spans="1:19" ht="15" x14ac:dyDescent="0.25">
      <c r="A2" s="1"/>
      <c r="B2" s="337"/>
      <c r="C2" s="338" t="s">
        <v>130</v>
      </c>
      <c r="D2" s="338"/>
      <c r="E2" s="338"/>
      <c r="F2" s="338"/>
      <c r="G2" s="338"/>
      <c r="H2" s="338"/>
      <c r="I2" s="338"/>
      <c r="J2" s="338"/>
      <c r="K2"/>
    </row>
    <row r="3" spans="1:19" s="2" customFormat="1" x14ac:dyDescent="0.2">
      <c r="A3" s="4"/>
      <c r="B3" s="337"/>
      <c r="C3" s="18"/>
      <c r="D3" s="18"/>
      <c r="E3" s="18"/>
      <c r="F3" s="18"/>
      <c r="G3" s="18"/>
      <c r="H3" s="18"/>
      <c r="I3" s="18"/>
      <c r="J3" s="18"/>
    </row>
    <row r="4" spans="1:19" ht="15" x14ac:dyDescent="0.25">
      <c r="A4" s="1"/>
      <c r="B4" s="337"/>
      <c r="C4" s="143" t="s">
        <v>20</v>
      </c>
      <c r="D4" s="144" t="s">
        <v>7</v>
      </c>
      <c r="E4" s="144" t="s">
        <v>8</v>
      </c>
      <c r="F4" s="144" t="s">
        <v>9</v>
      </c>
      <c r="G4" s="144" t="s">
        <v>10</v>
      </c>
      <c r="H4" s="144" t="s">
        <v>11</v>
      </c>
      <c r="I4" s="144" t="s">
        <v>12</v>
      </c>
      <c r="J4" s="144" t="s">
        <v>13</v>
      </c>
      <c r="K4"/>
    </row>
    <row r="5" spans="1:19" x14ac:dyDescent="0.2">
      <c r="A5" s="1"/>
      <c r="C5" s="143" t="s">
        <v>1</v>
      </c>
      <c r="D5" s="143" t="s">
        <v>1</v>
      </c>
      <c r="E5" s="143" t="s">
        <v>1</v>
      </c>
      <c r="F5" s="143" t="s">
        <v>1</v>
      </c>
      <c r="G5" s="143" t="s">
        <v>1</v>
      </c>
      <c r="H5" s="143" t="s">
        <v>1</v>
      </c>
      <c r="I5" s="143" t="s">
        <v>1</v>
      </c>
      <c r="J5" s="143" t="s">
        <v>1</v>
      </c>
      <c r="K5" s="3" t="s">
        <v>18</v>
      </c>
      <c r="L5" s="3" t="s">
        <v>19</v>
      </c>
      <c r="M5" s="21" t="s">
        <v>16</v>
      </c>
    </row>
    <row r="6" spans="1:19" s="2" customFormat="1" x14ac:dyDescent="0.2">
      <c r="A6" s="6"/>
      <c r="B6" s="145" t="s">
        <v>0</v>
      </c>
      <c r="C6" s="343" t="s">
        <v>131</v>
      </c>
      <c r="D6" s="343"/>
      <c r="E6" s="343"/>
      <c r="F6" s="343"/>
      <c r="G6" s="343"/>
      <c r="H6" s="343"/>
      <c r="I6" s="343"/>
      <c r="J6" s="343"/>
      <c r="K6" s="3"/>
      <c r="L6" s="3"/>
    </row>
    <row r="7" spans="1:19" ht="12.75" customHeight="1" x14ac:dyDescent="0.2">
      <c r="A7" s="344" t="s">
        <v>2</v>
      </c>
      <c r="B7" s="147" t="s">
        <v>42</v>
      </c>
      <c r="C7" s="306">
        <v>31000</v>
      </c>
      <c r="D7" s="306">
        <v>31000</v>
      </c>
      <c r="E7" s="306">
        <v>31000</v>
      </c>
      <c r="F7" s="306">
        <v>27000</v>
      </c>
      <c r="G7" s="306">
        <f>25000+(25000*K7)</f>
        <v>28500</v>
      </c>
      <c r="H7" s="306">
        <f>25000+(25000*K7)</f>
        <v>28500</v>
      </c>
      <c r="I7" s="306">
        <f>25000+(25000*K7)</f>
        <v>28500</v>
      </c>
      <c r="J7" s="306">
        <f>25000+(25000*K7)</f>
        <v>28500</v>
      </c>
      <c r="K7" s="19">
        <v>0.14000000000000001</v>
      </c>
      <c r="L7" s="20">
        <v>0.14000000000000001</v>
      </c>
      <c r="M7" s="20">
        <v>0.14000000000000001</v>
      </c>
    </row>
    <row r="8" spans="1:19" x14ac:dyDescent="0.2">
      <c r="A8" s="344"/>
      <c r="B8" s="148" t="s">
        <v>43</v>
      </c>
      <c r="C8" s="306">
        <v>54000</v>
      </c>
      <c r="D8" s="306">
        <v>54000</v>
      </c>
      <c r="E8" s="306">
        <v>74000</v>
      </c>
      <c r="F8" s="306">
        <v>65000</v>
      </c>
      <c r="G8" s="306">
        <v>68500</v>
      </c>
      <c r="H8" s="306">
        <v>68500</v>
      </c>
      <c r="I8" s="306">
        <v>68500</v>
      </c>
      <c r="J8" s="306">
        <v>68500</v>
      </c>
      <c r="K8" s="345" t="s">
        <v>2</v>
      </c>
      <c r="L8" s="345"/>
      <c r="M8" s="345"/>
      <c r="N8" s="345"/>
      <c r="O8" s="345"/>
      <c r="P8" s="345"/>
      <c r="Q8" s="345"/>
    </row>
    <row r="9" spans="1:19" x14ac:dyDescent="0.2">
      <c r="A9" s="344"/>
      <c r="B9" s="150" t="s">
        <v>217</v>
      </c>
      <c r="C9" s="306">
        <v>49000</v>
      </c>
      <c r="D9" s="306" t="s">
        <v>14</v>
      </c>
      <c r="E9" s="306">
        <v>61500</v>
      </c>
      <c r="F9" s="306">
        <v>54000</v>
      </c>
      <c r="G9" s="306">
        <f>50000+(50000*K7)</f>
        <v>57000</v>
      </c>
      <c r="H9" s="306">
        <f>50000+(50000*K7)</f>
        <v>57000</v>
      </c>
      <c r="I9" s="306">
        <f>50000+(50000*K7)</f>
        <v>57000</v>
      </c>
      <c r="J9" s="306">
        <f>50000+(50000*K7)</f>
        <v>57000</v>
      </c>
      <c r="K9" s="31" t="s">
        <v>54</v>
      </c>
      <c r="L9" s="31" t="s">
        <v>55</v>
      </c>
      <c r="M9" s="31" t="s">
        <v>56</v>
      </c>
      <c r="N9" s="31" t="s">
        <v>10</v>
      </c>
      <c r="O9" s="31" t="s">
        <v>11</v>
      </c>
      <c r="P9" s="31" t="s">
        <v>12</v>
      </c>
      <c r="Q9" s="31" t="s">
        <v>13</v>
      </c>
    </row>
    <row r="10" spans="1:19" x14ac:dyDescent="0.2">
      <c r="A10" s="344"/>
      <c r="B10" s="154" t="s">
        <v>44</v>
      </c>
      <c r="C10" s="306" t="s">
        <v>14</v>
      </c>
      <c r="D10" s="306" t="s">
        <v>14</v>
      </c>
      <c r="E10" s="331">
        <v>22000</v>
      </c>
      <c r="F10" s="331"/>
      <c r="G10" s="331">
        <v>22000</v>
      </c>
      <c r="H10" s="331">
        <v>22000</v>
      </c>
      <c r="I10" s="331">
        <v>22000</v>
      </c>
      <c r="J10" s="331">
        <v>22000</v>
      </c>
      <c r="K10" s="32">
        <f>100000*C7/1000</f>
        <v>3100000</v>
      </c>
      <c r="L10" s="32">
        <f>100000*D7/1000</f>
        <v>3100000</v>
      </c>
      <c r="M10" s="32">
        <f>100000*E7/1000</f>
        <v>3100000</v>
      </c>
      <c r="N10" s="32">
        <f>100000*G7/1000</f>
        <v>2850000</v>
      </c>
      <c r="O10" s="32">
        <f>100000*H7/1000</f>
        <v>2850000</v>
      </c>
      <c r="P10" s="32">
        <f>100000*I7/1000</f>
        <v>2850000</v>
      </c>
      <c r="Q10" s="32">
        <f>100000*J7/1000</f>
        <v>2850000</v>
      </c>
      <c r="R10" s="16"/>
      <c r="S10" s="16"/>
    </row>
    <row r="11" spans="1:19" x14ac:dyDescent="0.2">
      <c r="A11" s="344"/>
      <c r="B11" s="154" t="s">
        <v>45</v>
      </c>
      <c r="C11" s="306" t="s">
        <v>14</v>
      </c>
      <c r="D11" s="306" t="s">
        <v>14</v>
      </c>
      <c r="E11" s="331">
        <v>31500</v>
      </c>
      <c r="F11" s="331"/>
      <c r="G11" s="331">
        <v>31500</v>
      </c>
      <c r="H11" s="331">
        <v>31500</v>
      </c>
      <c r="I11" s="331">
        <v>31500</v>
      </c>
      <c r="J11" s="331">
        <v>31500</v>
      </c>
    </row>
    <row r="12" spans="1:19" ht="17.100000000000001" customHeight="1" x14ac:dyDescent="0.2">
      <c r="A12" s="344"/>
      <c r="B12" s="151" t="s">
        <v>289</v>
      </c>
      <c r="C12" s="307" t="s">
        <v>14</v>
      </c>
      <c r="D12" s="307" t="s">
        <v>14</v>
      </c>
      <c r="E12" s="307">
        <v>20100</v>
      </c>
      <c r="F12" s="307">
        <v>17600</v>
      </c>
      <c r="G12" s="307">
        <v>20100</v>
      </c>
      <c r="H12" s="307">
        <v>20100</v>
      </c>
      <c r="I12" s="307">
        <v>20100</v>
      </c>
      <c r="J12" s="307">
        <v>20100</v>
      </c>
    </row>
    <row r="13" spans="1:19" x14ac:dyDescent="0.2">
      <c r="A13" s="25"/>
      <c r="B13" s="25"/>
      <c r="C13" s="342" t="s">
        <v>226</v>
      </c>
      <c r="D13" s="342"/>
      <c r="E13" s="342"/>
      <c r="F13" s="342"/>
      <c r="G13" s="342"/>
      <c r="H13" s="342"/>
      <c r="I13" s="342"/>
      <c r="J13" s="342"/>
      <c r="K13" s="345" t="s">
        <v>62</v>
      </c>
      <c r="L13" s="345"/>
      <c r="M13" s="345"/>
      <c r="N13" s="345"/>
      <c r="O13" s="345"/>
      <c r="P13" s="345"/>
      <c r="Q13" s="345"/>
    </row>
    <row r="14" spans="1:19" s="2" customFormat="1" x14ac:dyDescent="0.2">
      <c r="A14" s="6"/>
      <c r="B14" s="7"/>
      <c r="C14" s="8"/>
      <c r="D14" s="8"/>
      <c r="E14" s="8"/>
      <c r="F14" s="8"/>
      <c r="G14" s="8"/>
      <c r="H14" s="8"/>
      <c r="I14" s="8"/>
      <c r="J14" s="8"/>
      <c r="K14" s="31" t="s">
        <v>54</v>
      </c>
      <c r="L14" s="31" t="s">
        <v>55</v>
      </c>
      <c r="M14" s="31" t="s">
        <v>56</v>
      </c>
      <c r="N14" s="31" t="s">
        <v>10</v>
      </c>
      <c r="O14" s="31" t="s">
        <v>11</v>
      </c>
      <c r="P14" s="31" t="s">
        <v>12</v>
      </c>
      <c r="Q14" s="31" t="s">
        <v>13</v>
      </c>
    </row>
    <row r="15" spans="1:19" s="2" customFormat="1" x14ac:dyDescent="0.2">
      <c r="A15" s="6"/>
      <c r="B15" s="7"/>
      <c r="C15" s="343" t="s">
        <v>131</v>
      </c>
      <c r="D15" s="343"/>
      <c r="E15" s="343"/>
      <c r="F15" s="343"/>
      <c r="G15" s="343"/>
      <c r="H15" s="343"/>
      <c r="I15" s="343"/>
      <c r="J15" s="343"/>
      <c r="K15" s="32">
        <f>100000*C8/1000</f>
        <v>5400000</v>
      </c>
      <c r="L15" s="32">
        <f>100000*D8/1000</f>
        <v>5400000</v>
      </c>
      <c r="M15" s="32">
        <f>100000*E8/1000</f>
        <v>7400000</v>
      </c>
      <c r="N15" s="32">
        <f>100000*G8/1000</f>
        <v>6850000</v>
      </c>
      <c r="O15" s="32">
        <f>100000*G8/1000</f>
        <v>6850000</v>
      </c>
      <c r="P15" s="32">
        <f>100000*H8/1000</f>
        <v>6850000</v>
      </c>
      <c r="Q15" s="32">
        <f>100000*I8/1000</f>
        <v>6850000</v>
      </c>
    </row>
    <row r="16" spans="1:19" x14ac:dyDescent="0.2">
      <c r="A16" s="339" t="s">
        <v>3</v>
      </c>
      <c r="B16" s="14" t="s">
        <v>47</v>
      </c>
      <c r="C16" s="306">
        <v>16000000</v>
      </c>
      <c r="D16" s="306">
        <v>10300000</v>
      </c>
      <c r="E16" s="306">
        <v>20500000</v>
      </c>
      <c r="F16" s="306">
        <v>18000000</v>
      </c>
      <c r="G16" s="306">
        <v>7400000</v>
      </c>
      <c r="H16" s="306">
        <f>5000000+(5000000*K7)</f>
        <v>5700000</v>
      </c>
      <c r="I16" s="306">
        <v>8000000</v>
      </c>
      <c r="J16" s="306">
        <f>5000000+(5000000*K7)</f>
        <v>5700000</v>
      </c>
    </row>
    <row r="17" spans="1:12" x14ac:dyDescent="0.2">
      <c r="A17" s="340"/>
      <c r="B17" s="14" t="s">
        <v>48</v>
      </c>
      <c r="C17" s="306">
        <v>18300000</v>
      </c>
      <c r="D17" s="306">
        <v>13700000</v>
      </c>
      <c r="E17" s="306">
        <v>25000000</v>
      </c>
      <c r="F17" s="306">
        <v>22000000</v>
      </c>
      <c r="G17" s="306">
        <v>9100000</v>
      </c>
      <c r="H17" s="306">
        <v>8000000</v>
      </c>
      <c r="I17" s="306">
        <v>9200000</v>
      </c>
      <c r="J17" s="306">
        <v>8000000</v>
      </c>
    </row>
    <row r="18" spans="1:12" x14ac:dyDescent="0.2">
      <c r="A18" s="340"/>
      <c r="B18" s="14" t="s">
        <v>49</v>
      </c>
      <c r="C18" s="306">
        <v>1700000</v>
      </c>
      <c r="D18" s="306">
        <v>2900000</v>
      </c>
      <c r="E18" s="306">
        <v>4000000</v>
      </c>
      <c r="F18" s="306">
        <v>4800000</v>
      </c>
      <c r="G18" s="306">
        <v>2900000</v>
      </c>
      <c r="H18" s="306">
        <v>2900000</v>
      </c>
      <c r="I18" s="306">
        <v>2900000</v>
      </c>
      <c r="J18" s="306">
        <v>2300000</v>
      </c>
    </row>
    <row r="19" spans="1:12" x14ac:dyDescent="0.2">
      <c r="A19" s="341"/>
      <c r="B19" s="14" t="s">
        <v>46</v>
      </c>
      <c r="C19" s="306">
        <v>2300000</v>
      </c>
      <c r="D19" s="306">
        <v>1700000</v>
      </c>
      <c r="E19" s="306">
        <v>7000000</v>
      </c>
      <c r="F19" s="306">
        <v>6500000</v>
      </c>
      <c r="G19" s="306">
        <v>1700000</v>
      </c>
      <c r="H19" s="306">
        <v>3400000</v>
      </c>
      <c r="I19" s="306">
        <v>2900000</v>
      </c>
      <c r="J19" s="306">
        <v>2300000</v>
      </c>
    </row>
    <row r="20" spans="1:12" x14ac:dyDescent="0.2">
      <c r="A20" s="25"/>
      <c r="B20" s="25"/>
      <c r="C20" s="342" t="s">
        <v>218</v>
      </c>
      <c r="D20" s="342"/>
      <c r="E20" s="342"/>
      <c r="F20" s="342"/>
      <c r="G20" s="342"/>
      <c r="H20" s="342"/>
      <c r="I20" s="342"/>
      <c r="J20" s="342"/>
    </row>
    <row r="21" spans="1:12" s="2" customFormat="1" x14ac:dyDescent="0.2">
      <c r="A21" s="9"/>
      <c r="B21" s="7"/>
      <c r="C21" s="8"/>
      <c r="D21" s="8"/>
      <c r="E21" s="8"/>
      <c r="F21" s="8"/>
      <c r="G21" s="8"/>
      <c r="H21" s="8"/>
      <c r="I21" s="8"/>
      <c r="J21" s="8"/>
      <c r="K21" s="3"/>
      <c r="L21" s="3"/>
    </row>
    <row r="22" spans="1:12" ht="15" customHeight="1" x14ac:dyDescent="0.2">
      <c r="C22" s="343" t="s">
        <v>581</v>
      </c>
      <c r="D22" s="343"/>
      <c r="E22" s="343"/>
      <c r="F22" s="343"/>
      <c r="G22" s="343"/>
      <c r="H22" s="343"/>
      <c r="I22" s="343"/>
      <c r="J22" s="343"/>
    </row>
    <row r="23" spans="1:12" ht="24.75" customHeight="1" x14ac:dyDescent="0.2">
      <c r="A23" s="350" t="s">
        <v>127</v>
      </c>
      <c r="B23" s="102" t="s">
        <v>238</v>
      </c>
      <c r="C23" s="307" t="s">
        <v>14</v>
      </c>
      <c r="D23" s="307" t="s">
        <v>14</v>
      </c>
      <c r="E23" s="307" t="s">
        <v>14</v>
      </c>
      <c r="F23" s="307">
        <v>14000000</v>
      </c>
      <c r="G23" s="307">
        <f>'Video Corto'!K83</f>
        <v>15600000</v>
      </c>
      <c r="H23" s="307">
        <f>'Video Corto'!K119</f>
        <v>9850000</v>
      </c>
      <c r="I23" s="307">
        <f>'Video Corto'!K49</f>
        <v>15000000</v>
      </c>
      <c r="J23" s="307">
        <f>'Video Corto'!K6</f>
        <v>31500000</v>
      </c>
      <c r="K23" s="30">
        <f>6500000+(6500000*L23)</f>
        <v>7410000</v>
      </c>
      <c r="L23" s="20">
        <v>0.14000000000000001</v>
      </c>
    </row>
    <row r="24" spans="1:12" ht="24.75" customHeight="1" x14ac:dyDescent="0.2">
      <c r="A24" s="350"/>
      <c r="B24" s="102" t="s">
        <v>237</v>
      </c>
      <c r="C24" s="307" t="s">
        <v>14</v>
      </c>
      <c r="D24" s="307" t="s">
        <v>14</v>
      </c>
      <c r="E24" s="307" t="s">
        <v>14</v>
      </c>
      <c r="F24" s="307">
        <v>14000000</v>
      </c>
      <c r="G24" s="307">
        <f>'Video Corto'!K76</f>
        <v>13600000</v>
      </c>
      <c r="H24" s="307">
        <f>'Video Corto'!K112</f>
        <v>9300000</v>
      </c>
      <c r="I24" s="307">
        <f>'Video Corto'!K42</f>
        <v>13200000</v>
      </c>
      <c r="J24" s="307">
        <f>'Video Corto'!K13</f>
        <v>27000000</v>
      </c>
      <c r="K24" s="30">
        <f>6500000+(6500000*L24)</f>
        <v>7410000</v>
      </c>
      <c r="L24" s="20">
        <v>0.14000000000000001</v>
      </c>
    </row>
    <row r="25" spans="1:12" ht="24.75" customHeight="1" x14ac:dyDescent="0.2">
      <c r="A25" s="350"/>
      <c r="B25" s="102" t="s">
        <v>249</v>
      </c>
      <c r="C25" s="307">
        <v>13600000</v>
      </c>
      <c r="D25" s="307" t="s">
        <v>14</v>
      </c>
      <c r="E25" s="307">
        <f>'Video Corto'!K141</f>
        <v>16000000</v>
      </c>
      <c r="F25" s="307"/>
      <c r="G25" s="307">
        <f>'Video Corto'!K69</f>
        <v>11700000</v>
      </c>
      <c r="H25" s="307">
        <f>'Video Corto'!K105</f>
        <v>8200000</v>
      </c>
      <c r="I25" s="307">
        <f>'Video Corto'!K35</f>
        <v>11300000</v>
      </c>
      <c r="J25" s="307">
        <f>'Video Corto'!K20</f>
        <v>22500000</v>
      </c>
      <c r="K25" s="30">
        <f>6500000+(6500000*L25)</f>
        <v>7410000</v>
      </c>
      <c r="L25" s="20">
        <v>0.14000000000000001</v>
      </c>
    </row>
    <row r="26" spans="1:12" ht="43.5" customHeight="1" x14ac:dyDescent="0.2">
      <c r="A26" s="350"/>
      <c r="B26" s="100" t="s">
        <v>294</v>
      </c>
      <c r="C26" s="307" t="s">
        <v>14</v>
      </c>
      <c r="D26" s="307" t="s">
        <v>14</v>
      </c>
      <c r="E26" s="307" t="s">
        <v>14</v>
      </c>
      <c r="F26" s="307"/>
      <c r="G26" s="307">
        <v>2500000</v>
      </c>
      <c r="H26" s="307">
        <v>2500000</v>
      </c>
      <c r="I26" s="307">
        <v>2500000</v>
      </c>
      <c r="J26" s="307" t="s">
        <v>14</v>
      </c>
      <c r="K26" s="30"/>
      <c r="L26" s="20"/>
    </row>
    <row r="27" spans="1:12" ht="38.25" customHeight="1" x14ac:dyDescent="0.2">
      <c r="A27" s="350"/>
      <c r="B27" s="100" t="s">
        <v>295</v>
      </c>
      <c r="C27" s="307" t="s">
        <v>14</v>
      </c>
      <c r="D27" s="307" t="s">
        <v>14</v>
      </c>
      <c r="E27" s="307" t="s">
        <v>14</v>
      </c>
      <c r="F27" s="307"/>
      <c r="G27" s="307">
        <v>1000000</v>
      </c>
      <c r="H27" s="307">
        <v>1000000</v>
      </c>
      <c r="I27" s="307">
        <v>1000000</v>
      </c>
      <c r="J27" s="307" t="s">
        <v>14</v>
      </c>
      <c r="K27" s="30"/>
      <c r="L27" s="20"/>
    </row>
    <row r="28" spans="1:12" ht="27" customHeight="1" x14ac:dyDescent="0.2">
      <c r="A28" s="350"/>
      <c r="B28" s="102" t="s">
        <v>236</v>
      </c>
      <c r="C28" s="307" t="s">
        <v>14</v>
      </c>
      <c r="D28" s="307" t="s">
        <v>14</v>
      </c>
      <c r="E28" s="307" t="s">
        <v>14</v>
      </c>
      <c r="F28" s="307"/>
      <c r="G28" s="307">
        <f>'Video Programa (Secciones)'!K93</f>
        <v>9500000</v>
      </c>
      <c r="H28" s="307">
        <f>'Video Programa (Secciones)'!K146</f>
        <v>6699999.9999999981</v>
      </c>
      <c r="I28" s="307">
        <f>'Video Programa (Secciones)'!K42</f>
        <v>9400000</v>
      </c>
      <c r="J28" s="307">
        <f>'Video Programa (Secciones)'!K7</f>
        <v>17400000</v>
      </c>
      <c r="K28" s="30">
        <f>5000000+(5000000*L28)</f>
        <v>5700000</v>
      </c>
      <c r="L28" s="20">
        <v>0.14000000000000001</v>
      </c>
    </row>
    <row r="29" spans="1:12" ht="24.75" customHeight="1" x14ac:dyDescent="0.2">
      <c r="A29" s="350"/>
      <c r="B29" s="102" t="s">
        <v>235</v>
      </c>
      <c r="C29" s="307" t="s">
        <v>14</v>
      </c>
      <c r="D29" s="307" t="s">
        <v>14</v>
      </c>
      <c r="E29" s="307" t="s">
        <v>14</v>
      </c>
      <c r="F29" s="307"/>
      <c r="G29" s="307">
        <f>'Video Programa (Secciones)'!K102</f>
        <v>12000000</v>
      </c>
      <c r="H29" s="307">
        <f>'Video Programa (Secciones)'!K155</f>
        <v>8700000</v>
      </c>
      <c r="I29" s="307">
        <f>'Video Programa (Secciones)'!K51</f>
        <v>11700000</v>
      </c>
      <c r="J29" s="307">
        <f>'Video Programa (Secciones)'!K16</f>
        <v>20000000</v>
      </c>
      <c r="K29" s="30"/>
      <c r="L29" s="20"/>
    </row>
    <row r="30" spans="1:12" ht="36.75" customHeight="1" x14ac:dyDescent="0.2">
      <c r="A30" s="350"/>
      <c r="B30" s="102" t="s">
        <v>234</v>
      </c>
      <c r="C30" s="307" t="s">
        <v>14</v>
      </c>
      <c r="D30" s="307" t="s">
        <v>14</v>
      </c>
      <c r="E30" s="307" t="s">
        <v>14</v>
      </c>
      <c r="F30" s="307"/>
      <c r="G30" s="307">
        <f>'Video Programa (Secciones)'!K111</f>
        <v>14300000</v>
      </c>
      <c r="H30" s="307">
        <f>'Video Programa (Secciones)'!K164</f>
        <v>10700000</v>
      </c>
      <c r="I30" s="307">
        <f>'Video Programa (Secciones)'!K60</f>
        <v>14400000</v>
      </c>
      <c r="J30" s="307">
        <f>'Video Programa (Secciones)'!K25</f>
        <v>22300000</v>
      </c>
      <c r="K30" s="30"/>
      <c r="L30" s="20"/>
    </row>
    <row r="31" spans="1:12" ht="36.75" customHeight="1" x14ac:dyDescent="0.2">
      <c r="A31" s="350"/>
      <c r="B31" s="100" t="s">
        <v>233</v>
      </c>
      <c r="C31" s="307" t="s">
        <v>14</v>
      </c>
      <c r="D31" s="307" t="s">
        <v>14</v>
      </c>
      <c r="E31" s="307" t="s">
        <v>14</v>
      </c>
      <c r="F31" s="307"/>
      <c r="G31" s="307">
        <v>1000000</v>
      </c>
      <c r="H31" s="307">
        <v>1000000</v>
      </c>
      <c r="I31" s="307">
        <v>1000000</v>
      </c>
      <c r="J31" s="307" t="s">
        <v>14</v>
      </c>
      <c r="K31" s="30"/>
      <c r="L31" s="20"/>
    </row>
    <row r="32" spans="1:12" ht="36.75" customHeight="1" x14ac:dyDescent="0.2">
      <c r="A32" s="350"/>
      <c r="B32" s="100" t="s">
        <v>232</v>
      </c>
      <c r="C32" s="307" t="s">
        <v>14</v>
      </c>
      <c r="D32" s="307" t="s">
        <v>14</v>
      </c>
      <c r="E32" s="307" t="s">
        <v>14</v>
      </c>
      <c r="F32" s="307"/>
      <c r="G32" s="307">
        <v>1300000</v>
      </c>
      <c r="H32" s="307">
        <v>1300000</v>
      </c>
      <c r="I32" s="307">
        <v>1300000</v>
      </c>
      <c r="J32" s="307" t="s">
        <v>14</v>
      </c>
      <c r="K32" s="30"/>
      <c r="L32" s="20"/>
    </row>
    <row r="33" spans="1:14" ht="30.75" customHeight="1" x14ac:dyDescent="0.2">
      <c r="A33" s="350"/>
      <c r="B33" s="100" t="s">
        <v>296</v>
      </c>
      <c r="C33" s="307" t="s">
        <v>14</v>
      </c>
      <c r="D33" s="307" t="s">
        <v>14</v>
      </c>
      <c r="E33" s="307" t="s">
        <v>14</v>
      </c>
      <c r="F33" s="307"/>
      <c r="G33" s="307">
        <f>'Seccion Prime - BM - Spot'!E7</f>
        <v>1380000</v>
      </c>
      <c r="H33" s="307">
        <f>'Seccion Prime - BM - Spot'!F7</f>
        <v>1220000</v>
      </c>
      <c r="I33" s="307">
        <f>'Seccion Prime - BM - Spot'!G7</f>
        <v>1440000</v>
      </c>
      <c r="J33" s="307">
        <f>'Seccion Prime - BM - Spot'!H7</f>
        <v>2980000</v>
      </c>
    </row>
    <row r="34" spans="1:14" ht="45.75" customHeight="1" x14ac:dyDescent="0.2">
      <c r="A34" s="350"/>
      <c r="B34" s="102" t="s">
        <v>231</v>
      </c>
      <c r="C34" s="307" t="s">
        <v>14</v>
      </c>
      <c r="D34" s="307" t="s">
        <v>14</v>
      </c>
      <c r="E34" s="307">
        <f>'Video Programa (Secciones)'!K200</f>
        <v>35000000</v>
      </c>
      <c r="F34" s="307"/>
      <c r="G34" s="307" t="s">
        <v>14</v>
      </c>
      <c r="H34" s="307" t="s">
        <v>14</v>
      </c>
      <c r="I34" s="307" t="s">
        <v>14</v>
      </c>
      <c r="J34" s="307" t="s">
        <v>14</v>
      </c>
      <c r="K34" s="30"/>
      <c r="L34" s="20"/>
    </row>
    <row r="35" spans="1:14" ht="54" customHeight="1" x14ac:dyDescent="0.2">
      <c r="A35" s="350"/>
      <c r="B35" s="102" t="s">
        <v>230</v>
      </c>
      <c r="C35" s="307" t="s">
        <v>14</v>
      </c>
      <c r="D35" s="307" t="s">
        <v>14</v>
      </c>
      <c r="E35" s="307">
        <f>'Video Programa (Secciones)'!K210</f>
        <v>20000000</v>
      </c>
      <c r="F35" s="307"/>
      <c r="G35" s="307" t="s">
        <v>14</v>
      </c>
      <c r="H35" s="307" t="s">
        <v>14</v>
      </c>
      <c r="I35" s="307" t="s">
        <v>14</v>
      </c>
      <c r="J35" s="307" t="s">
        <v>14</v>
      </c>
      <c r="K35" s="30"/>
      <c r="L35" s="20"/>
    </row>
    <row r="36" spans="1:14" ht="42.75" customHeight="1" x14ac:dyDescent="0.2">
      <c r="A36" s="350"/>
      <c r="B36" s="102" t="s">
        <v>229</v>
      </c>
      <c r="C36" s="307" t="s">
        <v>14</v>
      </c>
      <c r="D36" s="307" t="s">
        <v>14</v>
      </c>
      <c r="E36" s="307">
        <f>'Video Programa (Secciones)'!K220</f>
        <v>28000000</v>
      </c>
      <c r="F36" s="307"/>
      <c r="G36" s="307" t="s">
        <v>14</v>
      </c>
      <c r="H36" s="307" t="s">
        <v>14</v>
      </c>
      <c r="I36" s="307" t="s">
        <v>14</v>
      </c>
      <c r="J36" s="307" t="s">
        <v>14</v>
      </c>
      <c r="K36" s="30"/>
      <c r="L36" s="20"/>
    </row>
    <row r="37" spans="1:14" ht="40.5" customHeight="1" x14ac:dyDescent="0.2">
      <c r="A37" s="350"/>
      <c r="B37" s="102" t="s">
        <v>307</v>
      </c>
      <c r="C37" s="307" t="s">
        <v>14</v>
      </c>
      <c r="D37" s="307" t="s">
        <v>14</v>
      </c>
      <c r="E37" s="307">
        <f>'Video Programa (Secciones)'!K230</f>
        <v>16000000</v>
      </c>
      <c r="F37" s="307"/>
      <c r="G37" s="307" t="s">
        <v>14</v>
      </c>
      <c r="H37" s="307" t="s">
        <v>14</v>
      </c>
      <c r="I37" s="307" t="s">
        <v>14</v>
      </c>
      <c r="J37" s="307" t="s">
        <v>14</v>
      </c>
      <c r="K37" s="30"/>
      <c r="L37" s="20"/>
    </row>
    <row r="38" spans="1:14" ht="40.5" customHeight="1" x14ac:dyDescent="0.2">
      <c r="A38" s="350"/>
      <c r="B38" s="102" t="s">
        <v>319</v>
      </c>
      <c r="C38" s="307">
        <f>'Video Programa (Secciones)'!K244</f>
        <v>14200000</v>
      </c>
      <c r="D38" s="307" t="s">
        <v>14</v>
      </c>
      <c r="E38" s="307" t="s">
        <v>14</v>
      </c>
      <c r="F38" s="307"/>
      <c r="G38" s="307" t="s">
        <v>14</v>
      </c>
      <c r="H38" s="307" t="s">
        <v>14</v>
      </c>
      <c r="I38" s="307" t="s">
        <v>14</v>
      </c>
      <c r="J38" s="307" t="s">
        <v>14</v>
      </c>
      <c r="K38" s="30"/>
      <c r="L38" s="20"/>
    </row>
    <row r="39" spans="1:14" ht="40.5" customHeight="1" x14ac:dyDescent="0.2">
      <c r="A39" s="350"/>
      <c r="B39" s="102" t="s">
        <v>299</v>
      </c>
      <c r="C39" s="307">
        <f>'Video Programa (Secciones)'!K253</f>
        <v>14400000</v>
      </c>
      <c r="D39" s="307" t="s">
        <v>14</v>
      </c>
      <c r="E39" s="307" t="s">
        <v>14</v>
      </c>
      <c r="F39" s="307"/>
      <c r="G39" s="307" t="s">
        <v>14</v>
      </c>
      <c r="H39" s="307" t="s">
        <v>14</v>
      </c>
      <c r="I39" s="307" t="s">
        <v>14</v>
      </c>
      <c r="J39" s="307" t="s">
        <v>14</v>
      </c>
      <c r="K39" s="30"/>
      <c r="L39" s="20"/>
    </row>
    <row r="40" spans="1:14" ht="40.5" customHeight="1" x14ac:dyDescent="0.2">
      <c r="A40" s="350"/>
      <c r="B40" s="102" t="s">
        <v>303</v>
      </c>
      <c r="C40" s="307">
        <f>'Video Programa (Secciones)'!K262</f>
        <v>14300000</v>
      </c>
      <c r="D40" s="307" t="s">
        <v>14</v>
      </c>
      <c r="E40" s="307" t="s">
        <v>14</v>
      </c>
      <c r="F40" s="307"/>
      <c r="G40" s="307" t="s">
        <v>14</v>
      </c>
      <c r="H40" s="307" t="s">
        <v>14</v>
      </c>
      <c r="I40" s="307" t="s">
        <v>14</v>
      </c>
      <c r="J40" s="307" t="s">
        <v>14</v>
      </c>
      <c r="K40" s="30"/>
      <c r="L40" s="20"/>
    </row>
    <row r="41" spans="1:14" ht="40.5" customHeight="1" x14ac:dyDescent="0.2">
      <c r="A41" s="350"/>
      <c r="B41" s="102" t="s">
        <v>305</v>
      </c>
      <c r="C41" s="307">
        <f>'Video Programa (Secciones)'!K272</f>
        <v>14500000</v>
      </c>
      <c r="D41" s="307" t="s">
        <v>14</v>
      </c>
      <c r="E41" s="307" t="s">
        <v>14</v>
      </c>
      <c r="F41" s="307"/>
      <c r="G41" s="307" t="s">
        <v>14</v>
      </c>
      <c r="H41" s="307" t="s">
        <v>14</v>
      </c>
      <c r="I41" s="307" t="s">
        <v>14</v>
      </c>
      <c r="J41" s="307" t="s">
        <v>14</v>
      </c>
      <c r="K41" s="30"/>
      <c r="L41" s="20"/>
    </row>
    <row r="42" spans="1:14" ht="25.5" customHeight="1" x14ac:dyDescent="0.2">
      <c r="A42" s="350"/>
      <c r="B42" s="100" t="s">
        <v>228</v>
      </c>
      <c r="C42" s="307" t="s">
        <v>14</v>
      </c>
      <c r="D42" s="307" t="s">
        <v>14</v>
      </c>
      <c r="E42" s="307">
        <v>15200000</v>
      </c>
      <c r="F42" s="307">
        <f>10000000+6500000</f>
        <v>16500000</v>
      </c>
      <c r="G42" s="307" t="s">
        <v>14</v>
      </c>
      <c r="H42" s="307" t="s">
        <v>14</v>
      </c>
      <c r="I42" s="307" t="s">
        <v>14</v>
      </c>
      <c r="J42" s="307" t="s">
        <v>14</v>
      </c>
      <c r="K42" s="30">
        <f>7000000+(7000000*L42)</f>
        <v>7980000</v>
      </c>
      <c r="L42" s="20">
        <v>0.14000000000000001</v>
      </c>
      <c r="N42" s="16"/>
    </row>
    <row r="43" spans="1:14" ht="25.5" customHeight="1" x14ac:dyDescent="0.2">
      <c r="A43" s="350"/>
      <c r="B43" s="100" t="s">
        <v>227</v>
      </c>
      <c r="C43" s="307" t="s">
        <v>14</v>
      </c>
      <c r="D43" s="307" t="s">
        <v>14</v>
      </c>
      <c r="E43" s="307">
        <v>3500000</v>
      </c>
      <c r="F43" s="307"/>
      <c r="G43" s="307">
        <v>3000000</v>
      </c>
      <c r="H43" s="307">
        <v>3000000</v>
      </c>
      <c r="I43" s="307" t="s">
        <v>14</v>
      </c>
      <c r="J43" s="307" t="s">
        <v>14</v>
      </c>
      <c r="K43" s="30"/>
      <c r="L43" s="20"/>
      <c r="N43" s="16"/>
    </row>
    <row r="44" spans="1:14" ht="17.100000000000001" customHeight="1" x14ac:dyDescent="0.2">
      <c r="A44" s="350"/>
      <c r="B44" s="101" t="s">
        <v>223</v>
      </c>
      <c r="C44" s="307" t="s">
        <v>14</v>
      </c>
      <c r="D44" s="307" t="s">
        <v>14</v>
      </c>
      <c r="E44" s="307">
        <v>6000000</v>
      </c>
      <c r="F44" s="307"/>
      <c r="G44" s="307" t="s">
        <v>14</v>
      </c>
      <c r="H44" s="307" t="s">
        <v>14</v>
      </c>
      <c r="I44" s="307" t="s">
        <v>14</v>
      </c>
      <c r="J44" s="307" t="s">
        <v>14</v>
      </c>
    </row>
    <row r="45" spans="1:14" ht="17.100000000000001" customHeight="1" x14ac:dyDescent="0.2">
      <c r="A45" s="350"/>
      <c r="B45" s="101" t="s">
        <v>222</v>
      </c>
      <c r="C45" s="307" t="s">
        <v>14</v>
      </c>
      <c r="D45" s="307" t="s">
        <v>14</v>
      </c>
      <c r="E45" s="307">
        <v>3000000</v>
      </c>
      <c r="F45" s="307"/>
      <c r="G45" s="307">
        <v>2000000</v>
      </c>
      <c r="H45" s="307">
        <v>2000000</v>
      </c>
      <c r="I45" s="307" t="s">
        <v>14</v>
      </c>
      <c r="J45" s="307" t="s">
        <v>14</v>
      </c>
    </row>
    <row r="46" spans="1:14" ht="18" customHeight="1" x14ac:dyDescent="0.2">
      <c r="A46" s="350"/>
      <c r="B46" s="100" t="s">
        <v>268</v>
      </c>
      <c r="C46" s="307" t="s">
        <v>14</v>
      </c>
      <c r="D46" s="307" t="s">
        <v>14</v>
      </c>
      <c r="E46" s="307" t="s">
        <v>14</v>
      </c>
      <c r="F46" s="307"/>
      <c r="G46" s="307">
        <f>'Video Remoto (Corto)'!K37</f>
        <v>26600000</v>
      </c>
      <c r="H46" s="307">
        <f>'Video Remoto (Corto)'!K62</f>
        <v>17250000</v>
      </c>
      <c r="I46" s="307">
        <f>'Video Remoto (Corto)'!K24</f>
        <v>22150000</v>
      </c>
      <c r="J46" s="307">
        <f>'Video Remoto (Corto)'!K5</f>
        <v>16440000</v>
      </c>
      <c r="K46" s="30"/>
      <c r="L46" s="20"/>
      <c r="N46" s="16"/>
    </row>
    <row r="47" spans="1:14" ht="18" customHeight="1" x14ac:dyDescent="0.2">
      <c r="A47" s="350"/>
      <c r="B47" s="100" t="s">
        <v>266</v>
      </c>
      <c r="C47" s="307" t="s">
        <v>14</v>
      </c>
      <c r="D47" s="307" t="s">
        <v>14</v>
      </c>
      <c r="E47" s="307" t="s">
        <v>14</v>
      </c>
      <c r="F47" s="307"/>
      <c r="G47" s="307">
        <f>'Video Remoto (Corto)'!K43</f>
        <v>12250000</v>
      </c>
      <c r="H47" s="307">
        <f>'Video Remoto (Corto)'!K68</f>
        <v>17250000</v>
      </c>
      <c r="I47" s="307">
        <f>'Video Remoto (Corto)'!K30</f>
        <v>9750000</v>
      </c>
      <c r="J47" s="307">
        <f>'Video Remoto (Corto)'!K11</f>
        <v>8220000</v>
      </c>
      <c r="K47" s="30"/>
      <c r="L47" s="20"/>
      <c r="N47" s="16"/>
    </row>
    <row r="48" spans="1:14" ht="18" customHeight="1" x14ac:dyDescent="0.2">
      <c r="A48" s="350"/>
      <c r="B48" s="100" t="s">
        <v>267</v>
      </c>
      <c r="C48" s="307" t="s">
        <v>14</v>
      </c>
      <c r="D48" s="307" t="s">
        <v>14</v>
      </c>
      <c r="E48" s="307" t="s">
        <v>14</v>
      </c>
      <c r="F48" s="307"/>
      <c r="G48" s="307">
        <f>'Video Remoto (Corto)'!K49</f>
        <v>12250000</v>
      </c>
      <c r="H48" s="307">
        <f>'Video Remoto (Corto)'!K74</f>
        <v>9350000</v>
      </c>
      <c r="I48" s="307" t="s">
        <v>14</v>
      </c>
      <c r="J48" s="307">
        <f>'Video Remoto (Corto)'!K17</f>
        <v>7400000</v>
      </c>
      <c r="K48" s="30"/>
      <c r="L48" s="20"/>
      <c r="N48" s="16"/>
    </row>
    <row r="49" spans="1:14" ht="18" customHeight="1" x14ac:dyDescent="0.2">
      <c r="A49" s="350"/>
      <c r="B49" s="100" t="s">
        <v>269</v>
      </c>
      <c r="C49" s="307" t="s">
        <v>14</v>
      </c>
      <c r="D49" s="307" t="s">
        <v>14</v>
      </c>
      <c r="E49" s="307" t="s">
        <v>14</v>
      </c>
      <c r="F49" s="307"/>
      <c r="G49" s="307">
        <f>'Video Remoto (Corto)'!K55</f>
        <v>5850000.0000000009</v>
      </c>
      <c r="H49" s="307">
        <f>'Video Remoto (Corto)'!K80</f>
        <v>5550000</v>
      </c>
      <c r="I49" s="307" t="s">
        <v>14</v>
      </c>
      <c r="J49" s="307" t="s">
        <v>14</v>
      </c>
      <c r="K49" s="30"/>
      <c r="L49" s="20"/>
      <c r="N49" s="16"/>
    </row>
    <row r="50" spans="1:14" ht="29.25" customHeight="1" x14ac:dyDescent="0.2">
      <c r="A50" s="350"/>
      <c r="B50" s="100" t="s">
        <v>309</v>
      </c>
      <c r="C50" s="307">
        <f>'Video Remoto (Corto)'!K92</f>
        <v>14000000</v>
      </c>
      <c r="D50" s="307" t="s">
        <v>14</v>
      </c>
      <c r="E50" s="307" t="s">
        <v>14</v>
      </c>
      <c r="F50" s="307"/>
      <c r="G50" s="307" t="s">
        <v>14</v>
      </c>
      <c r="H50" s="307" t="s">
        <v>14</v>
      </c>
      <c r="I50" s="307" t="s">
        <v>14</v>
      </c>
      <c r="J50" s="307" t="s">
        <v>14</v>
      </c>
      <c r="K50" s="30"/>
      <c r="L50" s="20"/>
      <c r="N50" s="16"/>
    </row>
    <row r="51" spans="1:14" ht="31.5" customHeight="1" x14ac:dyDescent="0.2">
      <c r="A51" s="350"/>
      <c r="B51" s="100" t="s">
        <v>311</v>
      </c>
      <c r="C51" s="307">
        <f>'Video Remoto (Corto)'!K99</f>
        <v>22150000</v>
      </c>
      <c r="D51" s="307" t="s">
        <v>14</v>
      </c>
      <c r="E51" s="307" t="s">
        <v>14</v>
      </c>
      <c r="F51" s="307"/>
      <c r="G51" s="307" t="s">
        <v>14</v>
      </c>
      <c r="H51" s="307" t="s">
        <v>14</v>
      </c>
      <c r="I51" s="307" t="s">
        <v>14</v>
      </c>
      <c r="J51" s="307" t="s">
        <v>14</v>
      </c>
      <c r="K51" s="30"/>
      <c r="L51" s="20"/>
      <c r="N51" s="16"/>
    </row>
    <row r="52" spans="1:14" ht="34.5" customHeight="1" x14ac:dyDescent="0.2">
      <c r="A52" s="350"/>
      <c r="B52" s="100" t="s">
        <v>313</v>
      </c>
      <c r="C52" s="307">
        <f>'Video Remoto (Corto)'!K106</f>
        <v>26600000</v>
      </c>
      <c r="D52" s="307" t="s">
        <v>14</v>
      </c>
      <c r="E52" s="307" t="s">
        <v>14</v>
      </c>
      <c r="F52" s="307"/>
      <c r="G52" s="307" t="s">
        <v>14</v>
      </c>
      <c r="H52" s="307" t="s">
        <v>14</v>
      </c>
      <c r="I52" s="307" t="s">
        <v>14</v>
      </c>
      <c r="J52" s="307" t="s">
        <v>14</v>
      </c>
      <c r="K52" s="30"/>
      <c r="L52" s="20"/>
      <c r="N52" s="16"/>
    </row>
    <row r="53" spans="1:14" ht="34.5" customHeight="1" x14ac:dyDescent="0.2">
      <c r="A53" s="350"/>
      <c r="B53" s="100" t="s">
        <v>412</v>
      </c>
      <c r="C53" s="307" t="s">
        <v>14</v>
      </c>
      <c r="D53" s="307" t="s">
        <v>14</v>
      </c>
      <c r="E53" s="307" t="s">
        <v>14</v>
      </c>
      <c r="F53" s="307"/>
      <c r="G53" s="307">
        <v>17700000</v>
      </c>
      <c r="H53" s="307">
        <v>13000000</v>
      </c>
      <c r="I53" s="307">
        <v>30200000</v>
      </c>
      <c r="J53" s="307">
        <v>34500000</v>
      </c>
      <c r="K53" s="30"/>
      <c r="L53" s="20"/>
      <c r="N53" s="16"/>
    </row>
    <row r="54" spans="1:14" ht="34.5" customHeight="1" x14ac:dyDescent="0.2">
      <c r="A54" s="350"/>
      <c r="B54" s="100" t="s">
        <v>413</v>
      </c>
      <c r="C54" s="307" t="s">
        <v>14</v>
      </c>
      <c r="D54" s="307" t="s">
        <v>14</v>
      </c>
      <c r="E54" s="307" t="s">
        <v>14</v>
      </c>
      <c r="F54" s="307"/>
      <c r="G54" s="307">
        <v>33700000</v>
      </c>
      <c r="H54" s="307">
        <v>22200000</v>
      </c>
      <c r="I54" s="307" t="s">
        <v>14</v>
      </c>
      <c r="J54" s="307" t="s">
        <v>14</v>
      </c>
      <c r="K54" s="30"/>
      <c r="L54" s="20"/>
      <c r="N54" s="16"/>
    </row>
    <row r="55" spans="1:14" ht="34.5" customHeight="1" x14ac:dyDescent="0.2">
      <c r="A55" s="350"/>
      <c r="B55" s="100" t="s">
        <v>414</v>
      </c>
      <c r="C55" s="307" t="s">
        <v>14</v>
      </c>
      <c r="D55" s="307" t="s">
        <v>14</v>
      </c>
      <c r="E55" s="307" t="s">
        <v>14</v>
      </c>
      <c r="F55" s="307"/>
      <c r="G55" s="307">
        <v>23700000</v>
      </c>
      <c r="H55" s="307">
        <v>14700000</v>
      </c>
      <c r="I55" s="307" t="s">
        <v>14</v>
      </c>
      <c r="J55" s="307" t="s">
        <v>14</v>
      </c>
      <c r="K55" s="30"/>
      <c r="L55" s="20"/>
      <c r="N55" s="16"/>
    </row>
    <row r="56" spans="1:14" ht="34.5" customHeight="1" x14ac:dyDescent="0.2">
      <c r="A56" s="350"/>
      <c r="B56" s="100" t="s">
        <v>433</v>
      </c>
      <c r="C56" s="307" t="s">
        <v>14</v>
      </c>
      <c r="D56" s="307" t="s">
        <v>14</v>
      </c>
      <c r="E56" s="307" t="s">
        <v>14</v>
      </c>
      <c r="F56" s="307"/>
      <c r="G56" s="307">
        <f>'Seccion Prime - BM - Spot'!E32</f>
        <v>1656000</v>
      </c>
      <c r="H56" s="307">
        <f>'Seccion Prime - BM - Spot'!F32</f>
        <v>1464000</v>
      </c>
      <c r="I56" s="307">
        <f>'Seccion Prime - BM - Spot'!G32</f>
        <v>1728000</v>
      </c>
      <c r="J56" s="307">
        <f>'Seccion Prime - BM - Spot'!H32</f>
        <v>3576000</v>
      </c>
      <c r="K56" s="30"/>
      <c r="L56" s="20"/>
      <c r="N56" s="16"/>
    </row>
    <row r="57" spans="1:14" ht="34.5" customHeight="1" x14ac:dyDescent="0.2">
      <c r="A57" s="350"/>
      <c r="B57" s="100" t="s">
        <v>434</v>
      </c>
      <c r="C57" s="307" t="s">
        <v>14</v>
      </c>
      <c r="D57" s="307" t="s">
        <v>14</v>
      </c>
      <c r="E57" s="307" t="s">
        <v>14</v>
      </c>
      <c r="F57" s="307"/>
      <c r="G57" s="307">
        <f>'Seccion Prime - BM - Spot'!E39</f>
        <v>4056000</v>
      </c>
      <c r="H57" s="307">
        <f>'Seccion Prime - BM - Spot'!F39</f>
        <v>3864000</v>
      </c>
      <c r="I57" s="307">
        <f>'Seccion Prime - BM - Spot'!G39</f>
        <v>4128000</v>
      </c>
      <c r="J57" s="307">
        <f>'Seccion Prime - BM - Spot'!H39</f>
        <v>7976000</v>
      </c>
      <c r="K57" s="30"/>
      <c r="L57" s="20"/>
      <c r="N57" s="16"/>
    </row>
    <row r="58" spans="1:14" ht="40.5" customHeight="1" x14ac:dyDescent="0.2">
      <c r="A58" s="350"/>
      <c r="B58" s="100" t="s">
        <v>270</v>
      </c>
      <c r="C58" s="307">
        <f>'Seccion Prime - BM - Spot'!I18</f>
        <v>21120000</v>
      </c>
      <c r="D58" s="307" t="s">
        <v>14</v>
      </c>
      <c r="E58" s="307">
        <f>'Seccion Prime - BM - Spot'!I18</f>
        <v>21120000</v>
      </c>
      <c r="F58" s="307"/>
      <c r="G58" s="307">
        <f>'Seccion Prime - BM - Spot'!I18</f>
        <v>21120000</v>
      </c>
      <c r="H58" s="307">
        <f>'Seccion Prime - BM - Spot'!I18</f>
        <v>21120000</v>
      </c>
      <c r="I58" s="307">
        <f>'Seccion Prime - BM - Spot'!I18</f>
        <v>21120000</v>
      </c>
      <c r="J58" s="307">
        <f>'Seccion Prime - BM - Spot'!I16</f>
        <v>38720000</v>
      </c>
      <c r="K58" s="30"/>
      <c r="L58" s="20"/>
      <c r="N58" s="16"/>
    </row>
    <row r="59" spans="1:14" ht="17.100000000000001" hidden="1" customHeight="1" x14ac:dyDescent="0.2">
      <c r="A59" s="350"/>
      <c r="B59" s="5" t="s">
        <v>36</v>
      </c>
      <c r="C59" s="29">
        <f>4000000</f>
        <v>4000000</v>
      </c>
      <c r="D59" s="29" t="s">
        <v>14</v>
      </c>
      <c r="E59" s="29">
        <v>4000000</v>
      </c>
      <c r="F59" s="29">
        <v>2400000</v>
      </c>
      <c r="G59" s="29">
        <v>2400000</v>
      </c>
      <c r="H59" s="29">
        <v>2400000</v>
      </c>
      <c r="I59" s="29">
        <v>2400000</v>
      </c>
      <c r="J59" s="29">
        <v>2400000</v>
      </c>
    </row>
    <row r="60" spans="1:14" ht="17.100000000000001" hidden="1" customHeight="1" x14ac:dyDescent="0.2">
      <c r="A60" s="350"/>
      <c r="B60" s="5" t="s">
        <v>37</v>
      </c>
      <c r="C60" s="29">
        <f>3300000+K10</f>
        <v>6400000</v>
      </c>
      <c r="D60" s="29" t="s">
        <v>14</v>
      </c>
      <c r="E60" s="29">
        <v>5000000</v>
      </c>
      <c r="F60" s="29">
        <v>4400000</v>
      </c>
      <c r="G60" s="29">
        <v>4400000</v>
      </c>
      <c r="H60" s="29">
        <v>4400000</v>
      </c>
      <c r="I60" s="29">
        <v>4400000</v>
      </c>
      <c r="J60" s="29">
        <v>4400000</v>
      </c>
      <c r="K60" s="3">
        <v>3000000</v>
      </c>
      <c r="L60" s="20">
        <v>0.1</v>
      </c>
      <c r="M60" s="3">
        <f>K60*L60</f>
        <v>300000</v>
      </c>
    </row>
    <row r="61" spans="1:14" x14ac:dyDescent="0.2">
      <c r="C61" s="342" t="s">
        <v>219</v>
      </c>
      <c r="D61" s="342"/>
      <c r="E61" s="342"/>
      <c r="F61" s="342"/>
      <c r="G61" s="342"/>
      <c r="H61" s="342"/>
      <c r="I61" s="342"/>
      <c r="J61" s="342"/>
    </row>
    <row r="62" spans="1:14" x14ac:dyDescent="0.2">
      <c r="C62" s="342" t="s">
        <v>271</v>
      </c>
      <c r="D62" s="342"/>
      <c r="E62" s="342"/>
      <c r="F62" s="342"/>
      <c r="G62" s="342"/>
      <c r="H62" s="342"/>
      <c r="I62" s="342"/>
      <c r="J62" s="342"/>
    </row>
    <row r="63" spans="1:14" x14ac:dyDescent="0.2">
      <c r="A63" s="349"/>
      <c r="B63" s="349"/>
      <c r="C63" s="349"/>
    </row>
    <row r="64" spans="1:14" ht="15" customHeight="1" x14ac:dyDescent="0.2">
      <c r="C64" s="343" t="s">
        <v>131</v>
      </c>
      <c r="D64" s="343"/>
      <c r="E64" s="343"/>
      <c r="F64" s="343"/>
      <c r="G64" s="343"/>
      <c r="H64" s="343"/>
      <c r="I64" s="343"/>
      <c r="J64" s="343"/>
    </row>
    <row r="65" spans="1:14" ht="49.5" customHeight="1" x14ac:dyDescent="0.2">
      <c r="A65" s="347" t="s">
        <v>172</v>
      </c>
      <c r="B65" s="100" t="s">
        <v>361</v>
      </c>
      <c r="C65" s="307" t="s">
        <v>14</v>
      </c>
      <c r="D65" s="307" t="s">
        <v>14</v>
      </c>
      <c r="E65" s="307">
        <v>25000000</v>
      </c>
      <c r="F65" s="307"/>
      <c r="G65" s="307" t="s">
        <v>14</v>
      </c>
      <c r="H65" s="307" t="s">
        <v>14</v>
      </c>
      <c r="I65" s="307" t="s">
        <v>14</v>
      </c>
      <c r="J65" s="307" t="s">
        <v>14</v>
      </c>
      <c r="K65" s="103" t="s">
        <v>137</v>
      </c>
      <c r="L65" s="104"/>
    </row>
    <row r="66" spans="1:14" ht="56.25" customHeight="1" x14ac:dyDescent="0.2">
      <c r="A66" s="348"/>
      <c r="B66" s="100" t="s">
        <v>362</v>
      </c>
      <c r="C66" s="307" t="s">
        <v>14</v>
      </c>
      <c r="D66" s="307" t="s">
        <v>14</v>
      </c>
      <c r="E66" s="307">
        <v>25000000</v>
      </c>
      <c r="F66" s="307"/>
      <c r="G66" s="307" t="s">
        <v>14</v>
      </c>
      <c r="H66" s="307" t="s">
        <v>14</v>
      </c>
      <c r="I66" s="307" t="s">
        <v>14</v>
      </c>
      <c r="J66" s="307" t="s">
        <v>14</v>
      </c>
      <c r="K66" s="103"/>
      <c r="L66" s="104"/>
    </row>
    <row r="67" spans="1:14" ht="50.25" customHeight="1" x14ac:dyDescent="0.2">
      <c r="A67" s="348"/>
      <c r="B67" s="100" t="s">
        <v>363</v>
      </c>
      <c r="C67" s="307" t="s">
        <v>14</v>
      </c>
      <c r="D67" s="307" t="s">
        <v>14</v>
      </c>
      <c r="E67" s="307">
        <v>25000000</v>
      </c>
      <c r="F67" s="307"/>
      <c r="G67" s="307" t="s">
        <v>14</v>
      </c>
      <c r="H67" s="307" t="s">
        <v>14</v>
      </c>
      <c r="I67" s="307" t="s">
        <v>14</v>
      </c>
      <c r="J67" s="307" t="s">
        <v>14</v>
      </c>
      <c r="K67" s="103"/>
      <c r="L67" s="104"/>
    </row>
    <row r="68" spans="1:14" ht="50.25" customHeight="1" x14ac:dyDescent="0.2">
      <c r="A68" s="348"/>
      <c r="B68" s="100" t="s">
        <v>364</v>
      </c>
      <c r="C68" s="307" t="s">
        <v>14</v>
      </c>
      <c r="D68" s="307" t="s">
        <v>14</v>
      </c>
      <c r="E68" s="307">
        <v>25000000</v>
      </c>
      <c r="F68" s="307"/>
      <c r="G68" s="307" t="s">
        <v>14</v>
      </c>
      <c r="H68" s="307" t="s">
        <v>14</v>
      </c>
      <c r="I68" s="307" t="s">
        <v>14</v>
      </c>
      <c r="J68" s="307" t="s">
        <v>14</v>
      </c>
      <c r="K68" s="103"/>
      <c r="L68" s="104"/>
    </row>
    <row r="69" spans="1:14" ht="66" customHeight="1" x14ac:dyDescent="0.2">
      <c r="A69" s="348"/>
      <c r="B69" s="100" t="s">
        <v>365</v>
      </c>
      <c r="C69" s="307" t="s">
        <v>14</v>
      </c>
      <c r="D69" s="307" t="s">
        <v>14</v>
      </c>
      <c r="E69" s="307">
        <v>45000000</v>
      </c>
      <c r="F69" s="307"/>
      <c r="G69" s="307" t="s">
        <v>14</v>
      </c>
      <c r="H69" s="307" t="s">
        <v>14</v>
      </c>
      <c r="I69" s="307" t="s">
        <v>14</v>
      </c>
      <c r="J69" s="307" t="s">
        <v>14</v>
      </c>
      <c r="K69" s="30"/>
      <c r="L69" s="20"/>
    </row>
    <row r="70" spans="1:14" ht="50.25" hidden="1" customHeight="1" x14ac:dyDescent="0.2">
      <c r="A70" s="348"/>
      <c r="B70" s="100" t="s">
        <v>180</v>
      </c>
      <c r="C70" s="307" t="s">
        <v>14</v>
      </c>
      <c r="D70" s="307" t="s">
        <v>14</v>
      </c>
      <c r="E70" s="307">
        <v>18000000</v>
      </c>
      <c r="F70" s="307"/>
      <c r="G70" s="307" t="s">
        <v>14</v>
      </c>
      <c r="H70" s="307" t="s">
        <v>14</v>
      </c>
      <c r="I70" s="307" t="s">
        <v>14</v>
      </c>
      <c r="J70" s="307" t="s">
        <v>14</v>
      </c>
      <c r="K70" s="30"/>
      <c r="L70" s="20"/>
    </row>
    <row r="71" spans="1:14" ht="77.25" customHeight="1" x14ac:dyDescent="0.2">
      <c r="A71" s="348"/>
      <c r="B71" s="100" t="s">
        <v>587</v>
      </c>
      <c r="C71" s="307" t="s">
        <v>14</v>
      </c>
      <c r="D71" s="307" t="s">
        <v>14</v>
      </c>
      <c r="E71" s="307">
        <f>'Video Franquicia'!K54</f>
        <v>12000000</v>
      </c>
      <c r="F71" s="307"/>
      <c r="G71" s="307" t="s">
        <v>14</v>
      </c>
      <c r="H71" s="307" t="s">
        <v>14</v>
      </c>
      <c r="I71" s="307" t="s">
        <v>14</v>
      </c>
      <c r="J71" s="307" t="s">
        <v>14</v>
      </c>
      <c r="K71" s="30"/>
      <c r="L71" s="20"/>
    </row>
    <row r="72" spans="1:14" ht="65.25" customHeight="1" x14ac:dyDescent="0.2">
      <c r="A72" s="348"/>
      <c r="B72" s="100" t="s">
        <v>367</v>
      </c>
      <c r="C72" s="307" t="s">
        <v>14</v>
      </c>
      <c r="D72" s="307" t="s">
        <v>14</v>
      </c>
      <c r="E72" s="307">
        <f>'Video Franquicia'!K64</f>
        <v>11000000</v>
      </c>
      <c r="F72" s="307"/>
      <c r="G72" s="307" t="s">
        <v>14</v>
      </c>
      <c r="H72" s="307" t="s">
        <v>14</v>
      </c>
      <c r="I72" s="307" t="s">
        <v>14</v>
      </c>
      <c r="J72" s="307" t="s">
        <v>14</v>
      </c>
      <c r="K72" s="30"/>
      <c r="L72" s="20"/>
    </row>
    <row r="73" spans="1:14" ht="52.5" customHeight="1" x14ac:dyDescent="0.2">
      <c r="A73" s="348"/>
      <c r="B73" s="100" t="s">
        <v>444</v>
      </c>
      <c r="C73" s="307" t="s">
        <v>14</v>
      </c>
      <c r="D73" s="307" t="s">
        <v>14</v>
      </c>
      <c r="E73" s="307" t="s">
        <v>14</v>
      </c>
      <c r="F73" s="307"/>
      <c r="G73" s="307" t="s">
        <v>14</v>
      </c>
      <c r="H73" s="307" t="s">
        <v>14</v>
      </c>
      <c r="I73" s="307" t="s">
        <v>14</v>
      </c>
      <c r="J73" s="307">
        <v>15000000</v>
      </c>
      <c r="K73" s="30"/>
      <c r="L73" s="20"/>
      <c r="N73" s="16"/>
    </row>
    <row r="74" spans="1:14" ht="52.5" customHeight="1" x14ac:dyDescent="0.2">
      <c r="A74" s="348"/>
      <c r="B74" s="100" t="s">
        <v>585</v>
      </c>
      <c r="C74" s="307" t="s">
        <v>14</v>
      </c>
      <c r="D74" s="307" t="s">
        <v>14</v>
      </c>
      <c r="E74" s="307" t="s">
        <v>14</v>
      </c>
      <c r="F74" s="307"/>
      <c r="G74" s="307" t="s">
        <v>14</v>
      </c>
      <c r="H74" s="307" t="s">
        <v>14</v>
      </c>
      <c r="I74" s="307" t="s">
        <v>14</v>
      </c>
      <c r="J74" s="307">
        <f>'Video Franquicia'!K94</f>
        <v>20000000</v>
      </c>
      <c r="K74" s="30"/>
      <c r="L74" s="20"/>
      <c r="N74" s="16"/>
    </row>
    <row r="75" spans="1:14" ht="38.25" customHeight="1" x14ac:dyDescent="0.2">
      <c r="A75" s="348"/>
      <c r="B75" s="100" t="s">
        <v>368</v>
      </c>
      <c r="C75" s="307" t="s">
        <v>14</v>
      </c>
      <c r="D75" s="307" t="s">
        <v>14</v>
      </c>
      <c r="E75" s="307" t="s">
        <v>14</v>
      </c>
      <c r="F75" s="307"/>
      <c r="G75" s="307" t="s">
        <v>14</v>
      </c>
      <c r="H75" s="307">
        <v>8500000</v>
      </c>
      <c r="I75" s="307" t="s">
        <v>14</v>
      </c>
      <c r="J75" s="307" t="s">
        <v>14</v>
      </c>
      <c r="K75" s="30"/>
      <c r="L75" s="20"/>
      <c r="N75" s="16"/>
    </row>
    <row r="76" spans="1:14" ht="42.75" customHeight="1" x14ac:dyDescent="0.2">
      <c r="A76" s="348"/>
      <c r="B76" s="100" t="s">
        <v>369</v>
      </c>
      <c r="C76" s="307" t="s">
        <v>14</v>
      </c>
      <c r="D76" s="307" t="s">
        <v>14</v>
      </c>
      <c r="E76" s="307" t="s">
        <v>14</v>
      </c>
      <c r="F76" s="307"/>
      <c r="G76" s="307" t="s">
        <v>14</v>
      </c>
      <c r="H76" s="307">
        <v>11000000</v>
      </c>
      <c r="I76" s="307" t="s">
        <v>14</v>
      </c>
      <c r="J76" s="307" t="s">
        <v>14</v>
      </c>
    </row>
    <row r="77" spans="1:14" ht="53.25" customHeight="1" x14ac:dyDescent="0.2">
      <c r="A77" s="348"/>
      <c r="B77" s="100" t="s">
        <v>380</v>
      </c>
      <c r="C77" s="307" t="s">
        <v>14</v>
      </c>
      <c r="D77" s="307" t="s">
        <v>14</v>
      </c>
      <c r="E77" s="307" t="s">
        <v>14</v>
      </c>
      <c r="F77" s="307"/>
      <c r="G77" s="307" t="s">
        <v>14</v>
      </c>
      <c r="H77" s="307">
        <f>'Video Franquicia'!K136</f>
        <v>11563500</v>
      </c>
      <c r="I77" s="307" t="s">
        <v>14</v>
      </c>
      <c r="J77" s="307" t="s">
        <v>14</v>
      </c>
    </row>
    <row r="78" spans="1:14" ht="54" customHeight="1" x14ac:dyDescent="0.2">
      <c r="A78" s="348"/>
      <c r="B78" s="100" t="s">
        <v>370</v>
      </c>
      <c r="C78" s="307" t="s">
        <v>14</v>
      </c>
      <c r="D78" s="307" t="s">
        <v>14</v>
      </c>
      <c r="E78" s="307" t="s">
        <v>14</v>
      </c>
      <c r="F78" s="307" t="s">
        <v>14</v>
      </c>
      <c r="G78" s="307">
        <v>13500000</v>
      </c>
      <c r="H78" s="307" t="s">
        <v>14</v>
      </c>
      <c r="I78" s="307" t="s">
        <v>14</v>
      </c>
      <c r="J78" s="307" t="s">
        <v>14</v>
      </c>
    </row>
    <row r="79" spans="1:14" ht="51.75" customHeight="1" x14ac:dyDescent="0.2">
      <c r="A79" s="348"/>
      <c r="B79" s="100" t="s">
        <v>371</v>
      </c>
      <c r="C79" s="307" t="s">
        <v>14</v>
      </c>
      <c r="D79" s="307" t="s">
        <v>14</v>
      </c>
      <c r="E79" s="307" t="s">
        <v>14</v>
      </c>
      <c r="F79" s="307" t="s">
        <v>14</v>
      </c>
      <c r="G79" s="307">
        <v>12500000</v>
      </c>
      <c r="H79" s="307" t="s">
        <v>14</v>
      </c>
      <c r="I79" s="307" t="s">
        <v>14</v>
      </c>
      <c r="J79" s="307" t="s">
        <v>14</v>
      </c>
      <c r="L79" s="20"/>
    </row>
    <row r="80" spans="1:14" ht="51.75" customHeight="1" x14ac:dyDescent="0.2">
      <c r="A80" s="348"/>
      <c r="B80" s="100" t="s">
        <v>372</v>
      </c>
      <c r="C80" s="307" t="s">
        <v>14</v>
      </c>
      <c r="D80" s="307" t="s">
        <v>14</v>
      </c>
      <c r="E80" s="307" t="s">
        <v>14</v>
      </c>
      <c r="F80" s="307" t="s">
        <v>14</v>
      </c>
      <c r="G80" s="307">
        <v>6500000</v>
      </c>
      <c r="H80" s="307" t="s">
        <v>14</v>
      </c>
      <c r="I80" s="307" t="s">
        <v>14</v>
      </c>
      <c r="J80" s="307" t="s">
        <v>14</v>
      </c>
      <c r="K80" s="30"/>
      <c r="L80" s="20"/>
      <c r="N80" s="16"/>
    </row>
    <row r="81" spans="1:14" ht="52.5" customHeight="1" x14ac:dyDescent="0.2">
      <c r="A81" s="348"/>
      <c r="B81" s="100" t="s">
        <v>373</v>
      </c>
      <c r="C81" s="307" t="s">
        <v>14</v>
      </c>
      <c r="D81" s="307" t="s">
        <v>14</v>
      </c>
      <c r="E81" s="307" t="s">
        <v>14</v>
      </c>
      <c r="F81" s="307" t="s">
        <v>14</v>
      </c>
      <c r="G81" s="307">
        <v>12000000</v>
      </c>
      <c r="H81" s="307" t="s">
        <v>14</v>
      </c>
      <c r="I81" s="307" t="s">
        <v>14</v>
      </c>
      <c r="J81" s="307" t="s">
        <v>14</v>
      </c>
      <c r="K81" s="30"/>
      <c r="L81" s="20"/>
      <c r="N81" s="16"/>
    </row>
    <row r="82" spans="1:14" ht="52.5" customHeight="1" x14ac:dyDescent="0.2">
      <c r="A82" s="348"/>
      <c r="B82" s="100" t="s">
        <v>374</v>
      </c>
      <c r="C82" s="307" t="s">
        <v>14</v>
      </c>
      <c r="D82" s="307" t="s">
        <v>14</v>
      </c>
      <c r="E82" s="307" t="s">
        <v>14</v>
      </c>
      <c r="F82" s="307"/>
      <c r="G82" s="307">
        <f>'Video Franquicia'!K185</f>
        <v>8500000</v>
      </c>
      <c r="H82" s="307" t="s">
        <v>14</v>
      </c>
      <c r="I82" s="307" t="s">
        <v>14</v>
      </c>
      <c r="J82" s="307" t="s">
        <v>14</v>
      </c>
      <c r="K82" s="30"/>
      <c r="L82" s="20"/>
      <c r="N82" s="16"/>
    </row>
    <row r="83" spans="1:14" ht="39" customHeight="1" x14ac:dyDescent="0.2">
      <c r="A83" s="348"/>
      <c r="B83" s="100" t="s">
        <v>379</v>
      </c>
      <c r="C83" s="307" t="s">
        <v>14</v>
      </c>
      <c r="D83" s="307" t="s">
        <v>14</v>
      </c>
      <c r="E83" s="307" t="s">
        <v>14</v>
      </c>
      <c r="F83" s="307" t="s">
        <v>14</v>
      </c>
      <c r="G83" s="307" t="s">
        <v>14</v>
      </c>
      <c r="H83" s="307" t="s">
        <v>14</v>
      </c>
      <c r="I83" s="307">
        <f>'Video Franquicia'!K193</f>
        <v>7800000</v>
      </c>
      <c r="J83" s="307" t="s">
        <v>14</v>
      </c>
    </row>
    <row r="84" spans="1:14" ht="39" hidden="1" customHeight="1" x14ac:dyDescent="0.2">
      <c r="A84" s="348"/>
      <c r="B84" s="100" t="s">
        <v>212</v>
      </c>
      <c r="C84" s="307">
        <v>18500000</v>
      </c>
      <c r="D84" s="307" t="s">
        <v>14</v>
      </c>
      <c r="E84" s="307" t="s">
        <v>14</v>
      </c>
      <c r="F84" s="307"/>
      <c r="G84" s="307" t="s">
        <v>14</v>
      </c>
      <c r="H84" s="307" t="s">
        <v>14</v>
      </c>
      <c r="I84" s="307" t="s">
        <v>14</v>
      </c>
      <c r="J84" s="307" t="s">
        <v>14</v>
      </c>
      <c r="K84" s="30"/>
      <c r="L84" s="20"/>
      <c r="N84" s="16"/>
    </row>
    <row r="85" spans="1:14" ht="40.5" hidden="1" customHeight="1" x14ac:dyDescent="0.2">
      <c r="A85" s="348"/>
      <c r="B85" s="100" t="s">
        <v>213</v>
      </c>
      <c r="C85" s="307">
        <v>20000000</v>
      </c>
      <c r="D85" s="307" t="s">
        <v>14</v>
      </c>
      <c r="E85" s="307" t="s">
        <v>14</v>
      </c>
      <c r="F85" s="307"/>
      <c r="G85" s="307" t="s">
        <v>14</v>
      </c>
      <c r="H85" s="307" t="s">
        <v>14</v>
      </c>
      <c r="I85" s="307" t="s">
        <v>14</v>
      </c>
      <c r="J85" s="307" t="s">
        <v>14</v>
      </c>
    </row>
    <row r="86" spans="1:14" ht="40.5" customHeight="1" x14ac:dyDescent="0.2">
      <c r="A86" s="348"/>
      <c r="B86" s="100" t="s">
        <v>443</v>
      </c>
      <c r="C86" s="307" t="s">
        <v>14</v>
      </c>
      <c r="D86" s="307" t="s">
        <v>14</v>
      </c>
      <c r="E86" s="307" t="s">
        <v>14</v>
      </c>
      <c r="F86" s="307" t="s">
        <v>14</v>
      </c>
      <c r="G86" s="307" t="s">
        <v>14</v>
      </c>
      <c r="H86" s="307" t="s">
        <v>14</v>
      </c>
      <c r="I86" s="307">
        <f>'Video Franquicia'!L105</f>
        <v>22167300</v>
      </c>
      <c r="J86" s="307" t="s">
        <v>14</v>
      </c>
    </row>
    <row r="87" spans="1:14" ht="51" customHeight="1" x14ac:dyDescent="0.2">
      <c r="A87" s="348"/>
      <c r="B87" s="100" t="s">
        <v>375</v>
      </c>
      <c r="C87" s="307">
        <v>14500000</v>
      </c>
      <c r="D87" s="307" t="s">
        <v>14</v>
      </c>
      <c r="E87" s="307" t="s">
        <v>14</v>
      </c>
      <c r="F87" s="307"/>
      <c r="G87" s="307" t="s">
        <v>14</v>
      </c>
      <c r="H87" s="307" t="s">
        <v>14</v>
      </c>
      <c r="I87" s="307" t="s">
        <v>14</v>
      </c>
      <c r="J87" s="307" t="s">
        <v>14</v>
      </c>
    </row>
    <row r="88" spans="1:14" ht="39.75" hidden="1" customHeight="1" x14ac:dyDescent="0.2">
      <c r="A88" s="348"/>
      <c r="B88" s="100" t="s">
        <v>214</v>
      </c>
      <c r="C88" s="307">
        <v>11500000</v>
      </c>
      <c r="D88" s="307" t="s">
        <v>14</v>
      </c>
      <c r="E88" s="307" t="s">
        <v>14</v>
      </c>
      <c r="F88" s="307"/>
      <c r="G88" s="307" t="s">
        <v>14</v>
      </c>
      <c r="H88" s="307" t="s">
        <v>14</v>
      </c>
      <c r="I88" s="307" t="s">
        <v>14</v>
      </c>
      <c r="J88" s="307" t="s">
        <v>14</v>
      </c>
      <c r="L88" s="20"/>
    </row>
    <row r="89" spans="1:14" ht="40.5" customHeight="1" x14ac:dyDescent="0.2">
      <c r="A89" s="348"/>
      <c r="B89" s="100" t="s">
        <v>314</v>
      </c>
      <c r="C89" s="307">
        <f>'Video Franquicia'!K210</f>
        <v>10000000</v>
      </c>
      <c r="D89" s="307" t="s">
        <v>14</v>
      </c>
      <c r="E89" s="307" t="s">
        <v>14</v>
      </c>
      <c r="F89" s="307"/>
      <c r="G89" s="307" t="s">
        <v>14</v>
      </c>
      <c r="H89" s="307" t="s">
        <v>14</v>
      </c>
      <c r="I89" s="307" t="s">
        <v>14</v>
      </c>
      <c r="J89" s="307" t="s">
        <v>14</v>
      </c>
    </row>
    <row r="90" spans="1:14" ht="37.5" hidden="1" customHeight="1" x14ac:dyDescent="0.2">
      <c r="A90" s="348"/>
      <c r="B90" s="100" t="s">
        <v>221</v>
      </c>
      <c r="C90" s="307">
        <v>12000000</v>
      </c>
      <c r="D90" s="307" t="s">
        <v>14</v>
      </c>
      <c r="E90" s="307" t="s">
        <v>14</v>
      </c>
      <c r="F90" s="307"/>
      <c r="G90" s="307" t="s">
        <v>14</v>
      </c>
      <c r="H90" s="307" t="s">
        <v>14</v>
      </c>
      <c r="I90" s="307" t="s">
        <v>14</v>
      </c>
      <c r="J90" s="307" t="s">
        <v>14</v>
      </c>
      <c r="L90" s="20"/>
    </row>
    <row r="91" spans="1:14" ht="40.5" hidden="1" customHeight="1" x14ac:dyDescent="0.2">
      <c r="A91" s="348"/>
      <c r="B91" s="100" t="s">
        <v>189</v>
      </c>
      <c r="C91" s="307" t="s">
        <v>14</v>
      </c>
      <c r="D91" s="307" t="s">
        <v>14</v>
      </c>
      <c r="E91" s="307">
        <v>15500000</v>
      </c>
      <c r="F91" s="307"/>
      <c r="G91" s="307" t="s">
        <v>14</v>
      </c>
      <c r="H91" s="307" t="s">
        <v>14</v>
      </c>
      <c r="I91" s="307" t="s">
        <v>14</v>
      </c>
      <c r="J91" s="307" t="s">
        <v>14</v>
      </c>
    </row>
    <row r="92" spans="1:14" ht="40.5" hidden="1" customHeight="1" x14ac:dyDescent="0.2">
      <c r="A92" s="348"/>
      <c r="B92" s="100" t="s">
        <v>190</v>
      </c>
      <c r="C92" s="307" t="s">
        <v>14</v>
      </c>
      <c r="D92" s="307" t="s">
        <v>14</v>
      </c>
      <c r="E92" s="307">
        <v>12000000</v>
      </c>
      <c r="F92" s="307"/>
      <c r="G92" s="307" t="s">
        <v>14</v>
      </c>
      <c r="H92" s="307" t="s">
        <v>14</v>
      </c>
      <c r="I92" s="307" t="s">
        <v>14</v>
      </c>
      <c r="J92" s="307" t="s">
        <v>14</v>
      </c>
    </row>
    <row r="93" spans="1:14" ht="43.5" hidden="1" customHeight="1" x14ac:dyDescent="0.2">
      <c r="A93" s="348"/>
      <c r="B93" s="100" t="s">
        <v>191</v>
      </c>
      <c r="C93" s="307" t="s">
        <v>14</v>
      </c>
      <c r="D93" s="307" t="s">
        <v>14</v>
      </c>
      <c r="E93" s="307">
        <v>20500000</v>
      </c>
      <c r="F93" s="307"/>
      <c r="G93" s="307" t="s">
        <v>14</v>
      </c>
      <c r="H93" s="307" t="s">
        <v>14</v>
      </c>
      <c r="I93" s="307" t="s">
        <v>14</v>
      </c>
      <c r="J93" s="307" t="s">
        <v>14</v>
      </c>
    </row>
    <row r="94" spans="1:14" ht="37.5" hidden="1" customHeight="1" x14ac:dyDescent="0.2">
      <c r="A94" s="348"/>
      <c r="B94" s="100" t="s">
        <v>188</v>
      </c>
      <c r="C94" s="307" t="s">
        <v>14</v>
      </c>
      <c r="D94" s="307" t="s">
        <v>14</v>
      </c>
      <c r="E94" s="307">
        <v>18000000</v>
      </c>
      <c r="F94" s="307"/>
      <c r="G94" s="307" t="s">
        <v>14</v>
      </c>
      <c r="H94" s="307" t="s">
        <v>14</v>
      </c>
      <c r="I94" s="307" t="s">
        <v>14</v>
      </c>
      <c r="J94" s="307" t="s">
        <v>14</v>
      </c>
      <c r="L94" s="20"/>
    </row>
    <row r="95" spans="1:14" ht="40.5" customHeight="1" x14ac:dyDescent="0.2">
      <c r="A95" s="184"/>
      <c r="B95" s="100" t="s">
        <v>315</v>
      </c>
      <c r="C95" s="307">
        <f>'Video Franquicia'!K218</f>
        <v>8800000</v>
      </c>
      <c r="D95" s="307" t="s">
        <v>14</v>
      </c>
      <c r="E95" s="307" t="s">
        <v>14</v>
      </c>
      <c r="F95" s="307"/>
      <c r="G95" s="307" t="s">
        <v>14</v>
      </c>
      <c r="H95" s="307" t="s">
        <v>14</v>
      </c>
      <c r="I95" s="307" t="s">
        <v>14</v>
      </c>
      <c r="J95" s="307" t="s">
        <v>14</v>
      </c>
    </row>
    <row r="96" spans="1:14" x14ac:dyDescent="0.2">
      <c r="C96" s="342" t="s">
        <v>134</v>
      </c>
      <c r="D96" s="342"/>
      <c r="E96" s="342"/>
      <c r="F96" s="342"/>
      <c r="G96" s="342"/>
      <c r="H96" s="342"/>
      <c r="I96" s="342"/>
      <c r="J96" s="342"/>
    </row>
    <row r="97" spans="1:12" x14ac:dyDescent="0.2">
      <c r="C97" s="342" t="s">
        <v>186</v>
      </c>
      <c r="D97" s="342"/>
      <c r="E97" s="342"/>
      <c r="F97" s="342"/>
      <c r="G97" s="342"/>
      <c r="H97" s="342"/>
      <c r="I97" s="342"/>
      <c r="J97" s="342"/>
    </row>
    <row r="98" spans="1:12" x14ac:dyDescent="0.2">
      <c r="F98" s="26"/>
    </row>
    <row r="99" spans="1:12" ht="15" customHeight="1" x14ac:dyDescent="0.2">
      <c r="C99" s="343" t="s">
        <v>131</v>
      </c>
      <c r="D99" s="343"/>
      <c r="E99" s="343"/>
      <c r="F99" s="343"/>
      <c r="G99" s="343"/>
      <c r="H99" s="343"/>
      <c r="I99" s="343"/>
      <c r="J99" s="343"/>
    </row>
    <row r="100" spans="1:12" ht="17.100000000000001" customHeight="1" x14ac:dyDescent="0.2">
      <c r="A100" s="346" t="s">
        <v>128</v>
      </c>
      <c r="B100" s="101" t="s">
        <v>181</v>
      </c>
      <c r="C100" s="307">
        <f>5700000+K10</f>
        <v>8800000</v>
      </c>
      <c r="D100" s="307">
        <f>5700000+L10</f>
        <v>8800000</v>
      </c>
      <c r="E100" s="307">
        <f>7700000+M10</f>
        <v>10800000</v>
      </c>
      <c r="F100" s="307">
        <f>3000000+2500000+2500000+2700000</f>
        <v>10700000</v>
      </c>
      <c r="G100" s="307">
        <f>5700000+N10</f>
        <v>8550000</v>
      </c>
      <c r="H100" s="307">
        <f>5700000+O10</f>
        <v>8550000</v>
      </c>
      <c r="I100" s="307">
        <f>5700000+P10</f>
        <v>8550000</v>
      </c>
      <c r="J100" s="307">
        <f>5700000+Q10</f>
        <v>8550000</v>
      </c>
      <c r="K100" s="3">
        <f>2000000*14%</f>
        <v>280000</v>
      </c>
      <c r="L100" s="3">
        <f>K100+2000000</f>
        <v>2280000</v>
      </c>
    </row>
    <row r="101" spans="1:12" ht="23.25" customHeight="1" x14ac:dyDescent="0.2">
      <c r="A101" s="346"/>
      <c r="B101" s="102" t="s">
        <v>132</v>
      </c>
      <c r="C101" s="307">
        <f>2280000+K101+K10</f>
        <v>22480000</v>
      </c>
      <c r="D101" s="307">
        <f>2280000+K101+L10</f>
        <v>22480000</v>
      </c>
      <c r="E101" s="307">
        <f>2280000+L101+M10</f>
        <v>28480000</v>
      </c>
      <c r="F101" s="307">
        <f>2000000+9000000+4050000</f>
        <v>15050000</v>
      </c>
      <c r="G101" s="307">
        <f>2280000+K101+N10</f>
        <v>22230000</v>
      </c>
      <c r="H101" s="307">
        <f>2280000+K101+O10</f>
        <v>22230000</v>
      </c>
      <c r="I101" s="307">
        <f>2280000+K101+P10</f>
        <v>22230000</v>
      </c>
      <c r="J101" s="307">
        <f>(2280000+K101+Q10)</f>
        <v>22230000</v>
      </c>
      <c r="K101" s="3">
        <f>5700000*3</f>
        <v>17100000</v>
      </c>
      <c r="L101" s="3">
        <f>7700000*3</f>
        <v>23100000</v>
      </c>
    </row>
    <row r="102" spans="1:12" ht="17.100000000000001" customHeight="1" x14ac:dyDescent="0.2">
      <c r="A102" s="346"/>
      <c r="B102" s="151" t="s">
        <v>133</v>
      </c>
      <c r="C102" s="307" t="s">
        <v>14</v>
      </c>
      <c r="D102" s="307" t="s">
        <v>14</v>
      </c>
      <c r="E102" s="307">
        <v>6850000</v>
      </c>
      <c r="F102" s="307">
        <v>6000000</v>
      </c>
      <c r="G102" s="307">
        <v>6850000</v>
      </c>
      <c r="H102" s="307">
        <v>6850000</v>
      </c>
      <c r="I102" s="307">
        <v>6850000</v>
      </c>
      <c r="J102" s="307">
        <v>6850000</v>
      </c>
    </row>
    <row r="103" spans="1:12" ht="17.100000000000001" customHeight="1" x14ac:dyDescent="0.2">
      <c r="A103" s="346"/>
      <c r="B103" s="101" t="s">
        <v>38</v>
      </c>
      <c r="C103" s="307">
        <v>1140000</v>
      </c>
      <c r="D103" s="307">
        <v>1140000</v>
      </c>
      <c r="E103" s="307">
        <v>1140000</v>
      </c>
      <c r="F103" s="307">
        <v>1000000</v>
      </c>
      <c r="G103" s="307">
        <v>1140000</v>
      </c>
      <c r="H103" s="307">
        <v>1140000</v>
      </c>
      <c r="I103" s="307">
        <v>1140000</v>
      </c>
      <c r="J103" s="307">
        <v>1140000</v>
      </c>
      <c r="K103" s="3">
        <f>1000000*14%</f>
        <v>140000</v>
      </c>
      <c r="L103" s="3">
        <f>1000000+K103</f>
        <v>1140000</v>
      </c>
    </row>
    <row r="104" spans="1:12" ht="17.100000000000001" customHeight="1" x14ac:dyDescent="0.2">
      <c r="A104" s="346"/>
      <c r="B104" s="101" t="s">
        <v>215</v>
      </c>
      <c r="C104" s="307">
        <v>1140000</v>
      </c>
      <c r="D104" s="307">
        <v>1140000</v>
      </c>
      <c r="E104" s="307">
        <v>1140000</v>
      </c>
      <c r="F104" s="307">
        <v>1000000</v>
      </c>
      <c r="G104" s="307">
        <v>1140000</v>
      </c>
      <c r="H104" s="307">
        <v>1140000</v>
      </c>
      <c r="I104" s="307">
        <v>1140000</v>
      </c>
      <c r="J104" s="307">
        <v>1140000</v>
      </c>
    </row>
    <row r="105" spans="1:12" ht="17.100000000000001" customHeight="1" x14ac:dyDescent="0.2">
      <c r="A105" s="346"/>
      <c r="B105" s="101" t="s">
        <v>39</v>
      </c>
      <c r="C105" s="307" t="s">
        <v>14</v>
      </c>
      <c r="D105" s="307">
        <f>15000000+(15000000*K7)</f>
        <v>17100000</v>
      </c>
      <c r="E105" s="307" t="s">
        <v>14</v>
      </c>
      <c r="F105" s="307" t="s">
        <v>14</v>
      </c>
      <c r="G105" s="307" t="s">
        <v>14</v>
      </c>
      <c r="H105" s="307" t="s">
        <v>14</v>
      </c>
      <c r="I105" s="307" t="s">
        <v>14</v>
      </c>
      <c r="J105" s="307" t="s">
        <v>14</v>
      </c>
    </row>
    <row r="106" spans="1:12" ht="17.100000000000001" customHeight="1" x14ac:dyDescent="0.2">
      <c r="A106" s="346"/>
      <c r="B106" s="101" t="s">
        <v>182</v>
      </c>
      <c r="C106" s="307" t="s">
        <v>14</v>
      </c>
      <c r="D106" s="307">
        <f>50000000+(50000000*K7)</f>
        <v>57000000</v>
      </c>
      <c r="E106" s="307" t="s">
        <v>14</v>
      </c>
      <c r="F106" s="307" t="s">
        <v>14</v>
      </c>
      <c r="G106" s="307" t="s">
        <v>14</v>
      </c>
      <c r="H106" s="307" t="s">
        <v>14</v>
      </c>
      <c r="I106" s="307" t="s">
        <v>14</v>
      </c>
      <c r="J106" s="307" t="s">
        <v>14</v>
      </c>
    </row>
    <row r="107" spans="1:12" ht="17.100000000000001" customHeight="1" x14ac:dyDescent="0.2">
      <c r="A107" s="346"/>
      <c r="B107" s="101" t="s">
        <v>40</v>
      </c>
      <c r="C107" s="307">
        <f>11000000+(11000000*K7)</f>
        <v>12540000</v>
      </c>
      <c r="D107" s="307" t="s">
        <v>14</v>
      </c>
      <c r="E107" s="307" t="s">
        <v>14</v>
      </c>
      <c r="F107" s="307" t="s">
        <v>14</v>
      </c>
      <c r="G107" s="307" t="s">
        <v>14</v>
      </c>
      <c r="H107" s="307" t="s">
        <v>14</v>
      </c>
      <c r="I107" s="307" t="s">
        <v>14</v>
      </c>
      <c r="J107" s="307" t="s">
        <v>14</v>
      </c>
    </row>
    <row r="108" spans="1:12" ht="17.100000000000001" customHeight="1" x14ac:dyDescent="0.2">
      <c r="A108" s="346"/>
      <c r="B108" s="101" t="s">
        <v>41</v>
      </c>
      <c r="C108" s="307">
        <f>8000000+(8000000*K7)</f>
        <v>9120000</v>
      </c>
      <c r="D108" s="307" t="s">
        <v>14</v>
      </c>
      <c r="E108" s="307" t="s">
        <v>14</v>
      </c>
      <c r="F108" s="307" t="s">
        <v>14</v>
      </c>
      <c r="G108" s="307" t="s">
        <v>14</v>
      </c>
      <c r="H108" s="307" t="s">
        <v>14</v>
      </c>
      <c r="I108" s="307" t="s">
        <v>14</v>
      </c>
      <c r="J108" s="307" t="s">
        <v>14</v>
      </c>
    </row>
    <row r="109" spans="1:12" ht="17.100000000000001" customHeight="1" x14ac:dyDescent="0.2">
      <c r="A109" s="346"/>
      <c r="B109" s="101" t="s">
        <v>183</v>
      </c>
      <c r="C109" s="307">
        <f>30000000+(30000000*K6)</f>
        <v>30000000</v>
      </c>
      <c r="D109" s="307" t="s">
        <v>14</v>
      </c>
      <c r="E109" s="307">
        <f>25000000+(25000000*K6)</f>
        <v>25000000</v>
      </c>
      <c r="F109" s="307" t="s">
        <v>14</v>
      </c>
      <c r="G109" s="307" t="s">
        <v>14</v>
      </c>
      <c r="H109" s="307" t="s">
        <v>14</v>
      </c>
      <c r="I109" s="307" t="s">
        <v>14</v>
      </c>
      <c r="J109" s="307" t="s">
        <v>14</v>
      </c>
      <c r="K109" s="16">
        <f>C109*14%</f>
        <v>4200000</v>
      </c>
    </row>
    <row r="110" spans="1:12" ht="17.100000000000001" customHeight="1" x14ac:dyDescent="0.2">
      <c r="A110" s="346"/>
      <c r="B110" s="101" t="s">
        <v>297</v>
      </c>
      <c r="C110" s="307" t="s">
        <v>291</v>
      </c>
      <c r="D110" s="307" t="s">
        <v>14</v>
      </c>
      <c r="E110" s="307" t="s">
        <v>291</v>
      </c>
      <c r="F110" s="307" t="s">
        <v>14</v>
      </c>
      <c r="G110" s="307" t="s">
        <v>291</v>
      </c>
      <c r="H110" s="307" t="s">
        <v>291</v>
      </c>
      <c r="I110" s="307" t="s">
        <v>291</v>
      </c>
      <c r="J110" s="307" t="s">
        <v>291</v>
      </c>
      <c r="K110" s="16" t="e">
        <f>C110*14%</f>
        <v>#VALUE!</v>
      </c>
    </row>
    <row r="111" spans="1:12" x14ac:dyDescent="0.2">
      <c r="C111" s="342" t="s">
        <v>224</v>
      </c>
      <c r="D111" s="342"/>
      <c r="E111" s="342"/>
      <c r="F111" s="342"/>
      <c r="G111" s="342"/>
      <c r="H111" s="342"/>
      <c r="I111" s="342"/>
      <c r="J111" s="342"/>
    </row>
    <row r="113" spans="1:18" s="2" customFormat="1" x14ac:dyDescent="0.2">
      <c r="A113" s="9"/>
      <c r="B113" s="7"/>
      <c r="C113" s="343" t="s">
        <v>220</v>
      </c>
      <c r="D113" s="343"/>
      <c r="E113" s="343"/>
      <c r="F113" s="343"/>
      <c r="G113" s="343"/>
      <c r="H113" s="343"/>
      <c r="I113" s="343"/>
      <c r="J113" s="343"/>
      <c r="K113" s="3"/>
      <c r="L113" s="3"/>
    </row>
    <row r="114" spans="1:18" ht="28.5" customHeight="1" x14ac:dyDescent="0.2">
      <c r="A114" s="12" t="s">
        <v>22</v>
      </c>
      <c r="B114" s="14" t="s">
        <v>50</v>
      </c>
      <c r="C114" s="307">
        <v>2500000</v>
      </c>
      <c r="D114" s="307">
        <v>1300000</v>
      </c>
      <c r="E114" s="307">
        <v>1700000</v>
      </c>
      <c r="F114" s="307">
        <v>2200000</v>
      </c>
      <c r="G114" s="307">
        <v>1300000</v>
      </c>
      <c r="H114" s="307">
        <v>1300000</v>
      </c>
      <c r="I114" s="307">
        <v>1300000</v>
      </c>
      <c r="J114" s="307" t="s">
        <v>14</v>
      </c>
    </row>
    <row r="115" spans="1:18" ht="15" customHeight="1" x14ac:dyDescent="0.2">
      <c r="A115" s="28"/>
      <c r="B115" s="28"/>
      <c r="C115" s="342" t="s">
        <v>60</v>
      </c>
      <c r="D115" s="342"/>
      <c r="E115" s="342"/>
      <c r="F115" s="342"/>
      <c r="G115" s="342"/>
      <c r="H115" s="342"/>
      <c r="I115" s="342"/>
      <c r="J115" s="342"/>
    </row>
    <row r="116" spans="1:18" ht="14.25" customHeight="1" x14ac:dyDescent="0.2">
      <c r="A116" s="25"/>
      <c r="B116" s="25"/>
      <c r="C116" s="342" t="s">
        <v>53</v>
      </c>
      <c r="D116" s="342"/>
      <c r="E116" s="342"/>
      <c r="F116" s="342"/>
      <c r="G116" s="342"/>
      <c r="H116" s="342"/>
      <c r="I116" s="342"/>
      <c r="J116" s="342"/>
    </row>
    <row r="117" spans="1:18" s="2" customFormat="1" x14ac:dyDescent="0.2">
      <c r="A117" s="10"/>
      <c r="B117" s="7"/>
      <c r="C117" s="8"/>
      <c r="D117" s="8"/>
      <c r="E117" s="8"/>
      <c r="F117" s="8"/>
      <c r="G117" s="8"/>
      <c r="H117" s="8"/>
      <c r="I117" s="8"/>
      <c r="J117" s="8"/>
    </row>
    <row r="118" spans="1:18" s="2" customFormat="1" x14ac:dyDescent="0.2">
      <c r="A118" s="10"/>
      <c r="B118" s="7"/>
      <c r="C118" s="343" t="s">
        <v>220</v>
      </c>
      <c r="D118" s="343"/>
      <c r="E118" s="343"/>
      <c r="F118" s="343"/>
      <c r="G118" s="343"/>
      <c r="H118" s="343"/>
      <c r="I118" s="343"/>
      <c r="J118" s="343"/>
    </row>
    <row r="119" spans="1:18" ht="23.25" customHeight="1" x14ac:dyDescent="0.2">
      <c r="A119" s="335" t="s">
        <v>4</v>
      </c>
      <c r="B119" s="14" t="s">
        <v>216</v>
      </c>
      <c r="C119" s="307">
        <v>3400000</v>
      </c>
      <c r="D119" s="307">
        <v>2000000</v>
      </c>
      <c r="E119" s="307">
        <v>2000000</v>
      </c>
      <c r="F119" s="307">
        <v>2500000</v>
      </c>
      <c r="G119" s="307">
        <v>1000000</v>
      </c>
      <c r="H119" s="307">
        <v>900000</v>
      </c>
      <c r="I119" s="307">
        <v>1100000</v>
      </c>
      <c r="J119" s="307">
        <v>4800000</v>
      </c>
      <c r="K119" s="16"/>
      <c r="L119" s="16"/>
    </row>
    <row r="120" spans="1:18" ht="20.25" customHeight="1" x14ac:dyDescent="0.2">
      <c r="A120" s="336"/>
      <c r="B120" s="14" t="s">
        <v>244</v>
      </c>
      <c r="C120" s="307">
        <v>4000000</v>
      </c>
      <c r="D120" s="307">
        <v>2500000</v>
      </c>
      <c r="E120" s="307">
        <v>2100000</v>
      </c>
      <c r="F120" s="307">
        <v>1800000</v>
      </c>
      <c r="G120" s="307">
        <v>2700000</v>
      </c>
      <c r="H120" s="307">
        <v>2700000</v>
      </c>
      <c r="I120" s="307">
        <v>1700000</v>
      </c>
      <c r="J120" s="307">
        <v>6200000</v>
      </c>
    </row>
    <row r="121" spans="1:18" ht="16.5" customHeight="1" x14ac:dyDescent="0.2">
      <c r="A121" s="336"/>
      <c r="B121" s="14" t="s">
        <v>240</v>
      </c>
      <c r="C121" s="307">
        <v>4600000</v>
      </c>
      <c r="D121" s="307">
        <v>3000000</v>
      </c>
      <c r="E121" s="307">
        <v>4000000</v>
      </c>
      <c r="F121" s="307">
        <v>3000000</v>
      </c>
      <c r="G121" s="307">
        <v>2500000</v>
      </c>
      <c r="H121" s="307">
        <v>1700000</v>
      </c>
      <c r="I121" s="307">
        <v>2500000</v>
      </c>
      <c r="J121" s="307">
        <v>9000000</v>
      </c>
    </row>
    <row r="122" spans="1:18" ht="16.5" customHeight="1" x14ac:dyDescent="0.2">
      <c r="A122" s="336"/>
      <c r="B122" s="14" t="s">
        <v>51</v>
      </c>
      <c r="C122" s="307">
        <v>3200000</v>
      </c>
      <c r="D122" s="307">
        <f>D121*70%</f>
        <v>2100000</v>
      </c>
      <c r="E122" s="307">
        <f>E121*70%</f>
        <v>2800000</v>
      </c>
      <c r="F122" s="307"/>
      <c r="G122" s="307">
        <f>G121*70%</f>
        <v>1750000</v>
      </c>
      <c r="H122" s="307">
        <v>1200000</v>
      </c>
      <c r="I122" s="307">
        <v>1800000</v>
      </c>
      <c r="J122" s="307">
        <f>J121*70%</f>
        <v>6300000</v>
      </c>
    </row>
    <row r="123" spans="1:18" ht="16.5" customHeight="1" x14ac:dyDescent="0.2">
      <c r="A123" s="336"/>
      <c r="B123" s="14" t="s">
        <v>239</v>
      </c>
      <c r="C123" s="306">
        <v>5500000</v>
      </c>
      <c r="D123" s="306" t="s">
        <v>14</v>
      </c>
      <c r="E123" s="307">
        <v>6500000</v>
      </c>
      <c r="F123" s="307"/>
      <c r="G123" s="307">
        <v>5500000</v>
      </c>
      <c r="H123" s="307">
        <v>5500000</v>
      </c>
      <c r="I123" s="307">
        <v>6400000</v>
      </c>
      <c r="J123" s="307">
        <f>11100000+(11000000*M101)</f>
        <v>11100000</v>
      </c>
      <c r="R123" s="16"/>
    </row>
    <row r="124" spans="1:18" ht="17.100000000000001" customHeight="1" x14ac:dyDescent="0.2">
      <c r="A124" s="336"/>
      <c r="B124" s="101" t="s">
        <v>293</v>
      </c>
      <c r="C124" s="307" t="s">
        <v>291</v>
      </c>
      <c r="D124" s="307" t="s">
        <v>14</v>
      </c>
      <c r="E124" s="307" t="s">
        <v>291</v>
      </c>
      <c r="F124" s="307" t="s">
        <v>14</v>
      </c>
      <c r="G124" s="307" t="s">
        <v>291</v>
      </c>
      <c r="H124" s="307" t="s">
        <v>291</v>
      </c>
      <c r="I124" s="307" t="s">
        <v>291</v>
      </c>
      <c r="J124" s="307" t="s">
        <v>291</v>
      </c>
      <c r="K124" s="16" t="e">
        <f>C124*14%</f>
        <v>#VALUE!</v>
      </c>
    </row>
    <row r="125" spans="1:18" ht="14.25" customHeight="1" x14ac:dyDescent="0.2">
      <c r="A125" s="25"/>
      <c r="B125" s="25"/>
      <c r="C125" s="342" t="s">
        <v>58</v>
      </c>
      <c r="D125" s="342"/>
      <c r="E125" s="342"/>
      <c r="F125" s="342"/>
      <c r="G125" s="342"/>
      <c r="H125" s="342"/>
      <c r="I125" s="342"/>
      <c r="J125" s="342"/>
    </row>
    <row r="126" spans="1:18" ht="14.25" customHeight="1" x14ac:dyDescent="0.2">
      <c r="A126" s="25"/>
      <c r="B126" s="25"/>
      <c r="C126" s="342" t="s">
        <v>53</v>
      </c>
      <c r="D126" s="342"/>
      <c r="E126" s="342"/>
      <c r="F126" s="342"/>
      <c r="G126" s="342"/>
      <c r="H126" s="342"/>
      <c r="I126" s="342"/>
      <c r="J126" s="342"/>
    </row>
    <row r="127" spans="1:18" s="2" customFormat="1" x14ac:dyDescent="0.2">
      <c r="A127" s="10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spans="1:18" s="2" customFormat="1" x14ac:dyDescent="0.2">
      <c r="A128" s="10"/>
      <c r="B128" s="7"/>
      <c r="C128" s="343" t="s">
        <v>220</v>
      </c>
      <c r="D128" s="343"/>
      <c r="E128" s="343"/>
      <c r="F128" s="343"/>
      <c r="G128" s="343"/>
      <c r="H128" s="343"/>
      <c r="I128" s="343"/>
      <c r="J128" s="343"/>
    </row>
    <row r="129" spans="1:11" ht="21" customHeight="1" x14ac:dyDescent="0.2">
      <c r="A129" s="333" t="s">
        <v>25</v>
      </c>
      <c r="B129" s="14" t="s">
        <v>26</v>
      </c>
      <c r="C129" s="307">
        <v>2850000</v>
      </c>
      <c r="D129" s="307">
        <v>2000000</v>
      </c>
      <c r="E129" s="307">
        <v>4000000</v>
      </c>
      <c r="F129" s="307">
        <v>2500000</v>
      </c>
      <c r="G129" s="307">
        <v>1000000</v>
      </c>
      <c r="H129" s="307">
        <v>1000000</v>
      </c>
      <c r="I129" s="307">
        <v>1000000</v>
      </c>
      <c r="J129" s="307">
        <v>3900000</v>
      </c>
    </row>
    <row r="130" spans="1:11" ht="18.75" customHeight="1" x14ac:dyDescent="0.2">
      <c r="A130" s="334"/>
      <c r="B130" s="14" t="s">
        <v>244</v>
      </c>
      <c r="C130" s="307">
        <v>3400000</v>
      </c>
      <c r="D130" s="307">
        <v>2500000</v>
      </c>
      <c r="E130" s="307">
        <v>3400000</v>
      </c>
      <c r="F130" s="307">
        <v>3000000</v>
      </c>
      <c r="G130" s="307">
        <v>800000</v>
      </c>
      <c r="H130" s="307">
        <v>800000</v>
      </c>
      <c r="I130" s="307">
        <v>800000</v>
      </c>
      <c r="J130" s="307">
        <v>1400000</v>
      </c>
    </row>
    <row r="131" spans="1:11" ht="17.100000000000001" customHeight="1" x14ac:dyDescent="0.2">
      <c r="A131" s="334"/>
      <c r="B131" s="101" t="s">
        <v>293</v>
      </c>
      <c r="C131" s="307" t="s">
        <v>291</v>
      </c>
      <c r="D131" s="307" t="s">
        <v>14</v>
      </c>
      <c r="E131" s="307" t="s">
        <v>291</v>
      </c>
      <c r="F131" s="307" t="s">
        <v>14</v>
      </c>
      <c r="G131" s="307" t="s">
        <v>291</v>
      </c>
      <c r="H131" s="307" t="s">
        <v>291</v>
      </c>
      <c r="I131" s="307" t="s">
        <v>291</v>
      </c>
      <c r="J131" s="307" t="s">
        <v>291</v>
      </c>
      <c r="K131" s="16" t="e">
        <f>C131*14%</f>
        <v>#VALUE!</v>
      </c>
    </row>
    <row r="132" spans="1:11" ht="13.5" customHeight="1" x14ac:dyDescent="0.2">
      <c r="A132" s="25"/>
      <c r="B132" s="25"/>
      <c r="C132" s="342" t="s">
        <v>59</v>
      </c>
      <c r="D132" s="342"/>
      <c r="E132" s="342"/>
      <c r="F132" s="342"/>
      <c r="G132" s="342"/>
      <c r="H132" s="342"/>
      <c r="I132" s="342"/>
      <c r="J132" s="342"/>
    </row>
    <row r="133" spans="1:11" ht="14.25" customHeight="1" x14ac:dyDescent="0.2">
      <c r="A133" s="25"/>
      <c r="B133" s="25"/>
      <c r="C133" s="342" t="s">
        <v>53</v>
      </c>
      <c r="D133" s="342"/>
      <c r="E133" s="342"/>
      <c r="F133" s="342"/>
      <c r="G133" s="342"/>
      <c r="H133" s="342"/>
      <c r="I133" s="342"/>
      <c r="J133" s="342"/>
    </row>
    <row r="134" spans="1:11" s="2" customFormat="1" x14ac:dyDescent="0.2">
      <c r="A134" s="10"/>
      <c r="B134" s="7"/>
      <c r="C134" s="8"/>
      <c r="D134" s="8"/>
      <c r="E134" s="8"/>
      <c r="F134" s="8"/>
      <c r="G134" s="8"/>
      <c r="H134" s="8"/>
      <c r="I134" s="8"/>
      <c r="J134" s="8"/>
    </row>
    <row r="135" spans="1:11" s="2" customFormat="1" x14ac:dyDescent="0.2">
      <c r="A135" s="10"/>
      <c r="B135" s="7"/>
      <c r="C135" s="343" t="s">
        <v>220</v>
      </c>
      <c r="D135" s="343"/>
      <c r="E135" s="343"/>
      <c r="F135" s="343"/>
      <c r="G135" s="343"/>
      <c r="H135" s="343"/>
      <c r="I135" s="343"/>
      <c r="J135" s="343"/>
    </row>
    <row r="136" spans="1:11" ht="39" customHeight="1" x14ac:dyDescent="0.2">
      <c r="A136" s="353" t="s">
        <v>17</v>
      </c>
      <c r="B136" s="17" t="s">
        <v>241</v>
      </c>
      <c r="C136" s="307">
        <v>7400000</v>
      </c>
      <c r="D136" s="307" t="s">
        <v>14</v>
      </c>
      <c r="E136" s="307">
        <v>4000000</v>
      </c>
      <c r="F136" s="307">
        <v>3500000</v>
      </c>
      <c r="G136" s="307">
        <v>7400000</v>
      </c>
      <c r="H136" s="307">
        <v>2500000</v>
      </c>
      <c r="I136" s="307">
        <v>7000000</v>
      </c>
      <c r="J136" s="307">
        <v>15100000</v>
      </c>
    </row>
    <row r="137" spans="1:11" ht="17.100000000000001" customHeight="1" x14ac:dyDescent="0.2">
      <c r="A137" s="354"/>
      <c r="B137" s="101" t="s">
        <v>293</v>
      </c>
      <c r="C137" s="307" t="s">
        <v>291</v>
      </c>
      <c r="D137" s="307" t="s">
        <v>14</v>
      </c>
      <c r="E137" s="307" t="s">
        <v>291</v>
      </c>
      <c r="F137" s="307" t="s">
        <v>14</v>
      </c>
      <c r="G137" s="307" t="s">
        <v>291</v>
      </c>
      <c r="H137" s="307" t="s">
        <v>291</v>
      </c>
      <c r="I137" s="307" t="s">
        <v>291</v>
      </c>
      <c r="J137" s="307" t="s">
        <v>291</v>
      </c>
      <c r="K137" s="16" t="e">
        <f>C137*14%</f>
        <v>#VALUE!</v>
      </c>
    </row>
    <row r="138" spans="1:11" ht="13.5" customHeight="1" x14ac:dyDescent="0.2">
      <c r="A138" s="27"/>
      <c r="B138" s="27"/>
      <c r="C138" s="342" t="s">
        <v>58</v>
      </c>
      <c r="D138" s="342"/>
      <c r="E138" s="342"/>
      <c r="F138" s="342"/>
      <c r="G138" s="342"/>
      <c r="H138" s="342"/>
      <c r="I138" s="342"/>
      <c r="J138" s="342"/>
    </row>
    <row r="140" spans="1:11" s="2" customFormat="1" x14ac:dyDescent="0.2">
      <c r="A140" s="10"/>
      <c r="B140" s="7"/>
      <c r="C140" s="343" t="s">
        <v>220</v>
      </c>
      <c r="D140" s="343"/>
      <c r="E140" s="343"/>
      <c r="F140" s="343"/>
      <c r="G140" s="343"/>
      <c r="H140" s="343"/>
      <c r="I140" s="343"/>
      <c r="J140" s="343"/>
    </row>
    <row r="141" spans="1:11" ht="26.25" customHeight="1" x14ac:dyDescent="0.2">
      <c r="A141" s="355" t="s">
        <v>5</v>
      </c>
      <c r="B141" s="152" t="s">
        <v>242</v>
      </c>
      <c r="C141" s="307">
        <v>8000000</v>
      </c>
      <c r="D141" s="307" t="s">
        <v>14</v>
      </c>
      <c r="E141" s="307">
        <f>10000000+(10000000*M101)</f>
        <v>10000000</v>
      </c>
      <c r="F141" s="307">
        <v>10000000</v>
      </c>
      <c r="G141" s="307">
        <v>8000000</v>
      </c>
      <c r="H141" s="307">
        <v>5700000</v>
      </c>
      <c r="I141" s="307">
        <v>7000000</v>
      </c>
      <c r="J141" s="307">
        <v>11000000</v>
      </c>
    </row>
    <row r="142" spans="1:11" s="2" customFormat="1" ht="26.25" customHeight="1" x14ac:dyDescent="0.2">
      <c r="A142" s="356"/>
      <c r="B142" s="153" t="s">
        <v>243</v>
      </c>
      <c r="C142" s="307">
        <f>C141*30%</f>
        <v>2400000</v>
      </c>
      <c r="D142" s="307" t="s">
        <v>14</v>
      </c>
      <c r="E142" s="307">
        <f>E141*30%</f>
        <v>3000000</v>
      </c>
      <c r="F142" s="307"/>
      <c r="G142" s="307">
        <f>G141*30%</f>
        <v>2400000</v>
      </c>
      <c r="H142" s="307">
        <f>H141*30%</f>
        <v>1710000</v>
      </c>
      <c r="I142" s="307">
        <f>I141*30%</f>
        <v>2100000</v>
      </c>
      <c r="J142" s="307">
        <f>J141*30%</f>
        <v>3300000</v>
      </c>
    </row>
    <row r="143" spans="1:11" ht="17.100000000000001" customHeight="1" x14ac:dyDescent="0.2">
      <c r="A143" s="356"/>
      <c r="B143" s="101" t="s">
        <v>293</v>
      </c>
      <c r="C143" s="307" t="s">
        <v>291</v>
      </c>
      <c r="D143" s="307" t="s">
        <v>14</v>
      </c>
      <c r="E143" s="307" t="s">
        <v>291</v>
      </c>
      <c r="F143" s="307" t="s">
        <v>14</v>
      </c>
      <c r="G143" s="307" t="s">
        <v>291</v>
      </c>
      <c r="H143" s="307" t="s">
        <v>291</v>
      </c>
      <c r="I143" s="307" t="s">
        <v>291</v>
      </c>
      <c r="J143" s="307" t="s">
        <v>291</v>
      </c>
      <c r="K143" s="16" t="e">
        <f>C143*14%</f>
        <v>#VALUE!</v>
      </c>
    </row>
    <row r="144" spans="1:11" s="2" customFormat="1" x14ac:dyDescent="0.2">
      <c r="A144" s="10"/>
      <c r="B144" s="7"/>
      <c r="C144" s="342" t="s">
        <v>57</v>
      </c>
      <c r="D144" s="342"/>
      <c r="E144" s="342"/>
      <c r="F144" s="342"/>
      <c r="G144" s="342"/>
      <c r="H144" s="342"/>
      <c r="I144" s="342"/>
      <c r="J144" s="342"/>
    </row>
    <row r="145" spans="1:10" s="2" customFormat="1" x14ac:dyDescent="0.2">
      <c r="A145" s="10"/>
      <c r="B145" s="7"/>
      <c r="C145" s="8"/>
      <c r="D145" s="8"/>
      <c r="E145" s="8"/>
      <c r="F145" s="8"/>
      <c r="G145" s="8"/>
      <c r="H145" s="8"/>
      <c r="I145" s="8"/>
      <c r="J145" s="8"/>
    </row>
    <row r="146" spans="1:10" s="2" customFormat="1" x14ac:dyDescent="0.2">
      <c r="A146" s="10"/>
      <c r="B146" s="7"/>
      <c r="C146" s="343" t="s">
        <v>220</v>
      </c>
      <c r="D146" s="343"/>
      <c r="E146" s="343"/>
      <c r="F146" s="343"/>
      <c r="G146" s="343"/>
      <c r="H146" s="343"/>
      <c r="I146" s="343"/>
      <c r="J146" s="343"/>
    </row>
    <row r="147" spans="1:10" ht="28.5" customHeight="1" x14ac:dyDescent="0.2">
      <c r="A147" s="351" t="s">
        <v>32</v>
      </c>
      <c r="B147" s="149" t="s">
        <v>52</v>
      </c>
      <c r="C147" s="308" t="s">
        <v>14</v>
      </c>
      <c r="D147" s="308" t="s">
        <v>14</v>
      </c>
      <c r="E147" s="309">
        <v>370000</v>
      </c>
      <c r="F147" s="309"/>
      <c r="G147" s="309">
        <v>340000</v>
      </c>
      <c r="H147" s="309">
        <v>340000</v>
      </c>
      <c r="I147" s="309">
        <v>340000</v>
      </c>
      <c r="J147" s="308" t="s">
        <v>14</v>
      </c>
    </row>
    <row r="148" spans="1:10" ht="26.25" customHeight="1" x14ac:dyDescent="0.2">
      <c r="A148" s="351"/>
      <c r="B148" s="149" t="s">
        <v>245</v>
      </c>
      <c r="C148" s="308" t="s">
        <v>14</v>
      </c>
      <c r="D148" s="308" t="s">
        <v>14</v>
      </c>
      <c r="E148" s="309">
        <v>984000</v>
      </c>
      <c r="F148" s="309"/>
      <c r="G148" s="309">
        <v>900000</v>
      </c>
      <c r="H148" s="309">
        <v>900000</v>
      </c>
      <c r="I148" s="309">
        <v>900000</v>
      </c>
      <c r="J148" s="308" t="s">
        <v>14</v>
      </c>
    </row>
    <row r="149" spans="1:10" ht="25.5" customHeight="1" x14ac:dyDescent="0.2">
      <c r="A149" s="351"/>
      <c r="B149" s="149" t="s">
        <v>335</v>
      </c>
      <c r="C149" s="308" t="s">
        <v>14</v>
      </c>
      <c r="D149" s="308" t="s">
        <v>14</v>
      </c>
      <c r="E149" s="309">
        <v>492000</v>
      </c>
      <c r="F149" s="309"/>
      <c r="G149" s="309">
        <v>400000</v>
      </c>
      <c r="H149" s="309">
        <v>400000</v>
      </c>
      <c r="I149" s="309">
        <v>400000</v>
      </c>
      <c r="J149" s="308" t="s">
        <v>14</v>
      </c>
    </row>
    <row r="150" spans="1:10" ht="25.5" customHeight="1" x14ac:dyDescent="0.2">
      <c r="A150" s="351"/>
      <c r="B150" s="149" t="s">
        <v>247</v>
      </c>
      <c r="C150" s="308" t="s">
        <v>14</v>
      </c>
      <c r="D150" s="308" t="s">
        <v>14</v>
      </c>
      <c r="E150" s="309">
        <v>984000</v>
      </c>
      <c r="F150" s="309"/>
      <c r="G150" s="309">
        <v>900000</v>
      </c>
      <c r="H150" s="309">
        <v>900000</v>
      </c>
      <c r="I150" s="309">
        <v>900000</v>
      </c>
      <c r="J150" s="308" t="s">
        <v>14</v>
      </c>
    </row>
    <row r="151" spans="1:10" ht="25.5" customHeight="1" x14ac:dyDescent="0.2">
      <c r="A151" s="351"/>
      <c r="B151" s="149" t="s">
        <v>336</v>
      </c>
      <c r="C151" s="308" t="s">
        <v>14</v>
      </c>
      <c r="D151" s="308" t="s">
        <v>14</v>
      </c>
      <c r="E151" s="309">
        <v>1000000</v>
      </c>
      <c r="F151" s="309"/>
      <c r="G151" s="309">
        <v>1000000</v>
      </c>
      <c r="H151" s="309">
        <v>1000000</v>
      </c>
      <c r="I151" s="309">
        <v>1000000</v>
      </c>
      <c r="J151" s="308" t="s">
        <v>14</v>
      </c>
    </row>
    <row r="152" spans="1:10" ht="25.5" customHeight="1" x14ac:dyDescent="0.2">
      <c r="A152" s="351"/>
      <c r="B152" s="149" t="s">
        <v>337</v>
      </c>
      <c r="C152" s="308" t="s">
        <v>14</v>
      </c>
      <c r="D152" s="308" t="s">
        <v>14</v>
      </c>
      <c r="E152" s="309">
        <v>400000</v>
      </c>
      <c r="F152" s="309"/>
      <c r="G152" s="309">
        <f>G150*40%</f>
        <v>360000</v>
      </c>
      <c r="H152" s="309">
        <f>H150*40%</f>
        <v>360000</v>
      </c>
      <c r="I152" s="309">
        <f>I150*40%</f>
        <v>360000</v>
      </c>
      <c r="J152" s="308" t="s">
        <v>14</v>
      </c>
    </row>
    <row r="153" spans="1:10" ht="15" customHeight="1" x14ac:dyDescent="0.2">
      <c r="C153" s="342" t="s">
        <v>61</v>
      </c>
      <c r="D153" s="342"/>
      <c r="E153" s="342"/>
      <c r="F153" s="342"/>
      <c r="G153" s="342"/>
      <c r="H153" s="342"/>
      <c r="I153" s="342"/>
      <c r="J153" s="342"/>
    </row>
    <row r="154" spans="1:10" ht="15" customHeight="1" x14ac:dyDescent="0.2">
      <c r="C154" s="342" t="s">
        <v>135</v>
      </c>
      <c r="D154" s="342"/>
      <c r="E154" s="342"/>
      <c r="F154" s="342"/>
      <c r="G154" s="342"/>
      <c r="H154" s="342"/>
      <c r="I154" s="342"/>
      <c r="J154" s="342"/>
    </row>
    <row r="155" spans="1:10" ht="15" customHeight="1" x14ac:dyDescent="0.2"/>
    <row r="156" spans="1:10" s="2" customFormat="1" x14ac:dyDescent="0.2">
      <c r="A156" s="10"/>
      <c r="B156" s="7"/>
      <c r="C156" s="343" t="s">
        <v>265</v>
      </c>
      <c r="D156" s="343"/>
      <c r="E156" s="343"/>
      <c r="F156" s="343"/>
      <c r="G156" s="343"/>
      <c r="H156" s="343"/>
      <c r="I156" s="343"/>
      <c r="J156" s="343"/>
    </row>
    <row r="157" spans="1:10" ht="76.5" customHeight="1" x14ac:dyDescent="0.2">
      <c r="A157" s="131" t="s">
        <v>15</v>
      </c>
      <c r="B157" s="140" t="s">
        <v>196</v>
      </c>
      <c r="C157" s="352" t="s">
        <v>211</v>
      </c>
      <c r="D157" s="352"/>
      <c r="E157" s="352"/>
      <c r="F157" s="352"/>
      <c r="G157" s="352"/>
      <c r="H157" s="352"/>
      <c r="I157" s="352"/>
      <c r="J157" s="352"/>
    </row>
  </sheetData>
  <mergeCells count="45">
    <mergeCell ref="A147:A152"/>
    <mergeCell ref="C153:J153"/>
    <mergeCell ref="C154:J154"/>
    <mergeCell ref="C132:J132"/>
    <mergeCell ref="C157:J157"/>
    <mergeCell ref="A136:A137"/>
    <mergeCell ref="A141:A143"/>
    <mergeCell ref="C156:J156"/>
    <mergeCell ref="C133:J133"/>
    <mergeCell ref="C135:J135"/>
    <mergeCell ref="C138:J138"/>
    <mergeCell ref="C140:J140"/>
    <mergeCell ref="C144:J144"/>
    <mergeCell ref="C146:J146"/>
    <mergeCell ref="K8:Q8"/>
    <mergeCell ref="K13:Q13"/>
    <mergeCell ref="C99:J99"/>
    <mergeCell ref="A100:A110"/>
    <mergeCell ref="C111:J111"/>
    <mergeCell ref="C64:J64"/>
    <mergeCell ref="A65:A94"/>
    <mergeCell ref="C96:J96"/>
    <mergeCell ref="C15:J15"/>
    <mergeCell ref="C22:J22"/>
    <mergeCell ref="C97:J97"/>
    <mergeCell ref="A63:C63"/>
    <mergeCell ref="A23:A60"/>
    <mergeCell ref="C61:J61"/>
    <mergeCell ref="C62:J62"/>
    <mergeCell ref="A129:A131"/>
    <mergeCell ref="A119:A124"/>
    <mergeCell ref="B2:B4"/>
    <mergeCell ref="C2:J2"/>
    <mergeCell ref="A16:A19"/>
    <mergeCell ref="C13:J13"/>
    <mergeCell ref="C20:J20"/>
    <mergeCell ref="C6:J6"/>
    <mergeCell ref="A7:A12"/>
    <mergeCell ref="C126:J126"/>
    <mergeCell ref="C128:J128"/>
    <mergeCell ref="C115:J115"/>
    <mergeCell ref="C116:J116"/>
    <mergeCell ref="C118:J118"/>
    <mergeCell ref="C125:J125"/>
    <mergeCell ref="C113:J11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C47E-78C6-4D44-8220-7F331F2175C9}">
  <dimension ref="A2:N122"/>
  <sheetViews>
    <sheetView showGridLines="0" workbookViewId="0">
      <pane xSplit="2" ySplit="5" topLeftCell="C15" activePane="bottomRight" state="frozen"/>
      <selection pane="topRight" activeCell="C1" sqref="C1"/>
      <selection pane="bottomLeft" activeCell="A7" sqref="A7"/>
      <selection pane="bottomRight" activeCell="B26" sqref="B26"/>
    </sheetView>
  </sheetViews>
  <sheetFormatPr baseColWidth="10" defaultRowHeight="12.75" x14ac:dyDescent="0.2"/>
  <cols>
    <col min="1" max="1" width="4" style="3" customWidth="1"/>
    <col min="2" max="2" width="51.85546875" style="3" customWidth="1"/>
    <col min="3" max="3" width="14.28515625" style="3" bestFit="1" customWidth="1"/>
    <col min="4" max="8" width="14.28515625" style="3" customWidth="1"/>
    <col min="9" max="9" width="16.140625" style="3" customWidth="1"/>
    <col min="10" max="16384" width="11.42578125" style="3"/>
  </cols>
  <sheetData>
    <row r="2" spans="1:11" x14ac:dyDescent="0.2">
      <c r="A2" s="1"/>
      <c r="B2" s="337"/>
      <c r="C2" s="358" t="s">
        <v>21</v>
      </c>
      <c r="D2" s="358"/>
      <c r="E2" s="358"/>
      <c r="F2" s="358"/>
      <c r="G2" s="358"/>
      <c r="H2" s="358"/>
      <c r="I2" s="358"/>
    </row>
    <row r="3" spans="1:11" s="2" customFormat="1" x14ac:dyDescent="0.2">
      <c r="A3" s="4"/>
      <c r="B3" s="337"/>
      <c r="C3" s="18"/>
      <c r="D3" s="18"/>
      <c r="E3" s="18"/>
      <c r="F3" s="18"/>
      <c r="G3" s="18"/>
      <c r="H3" s="18"/>
      <c r="I3" s="18"/>
    </row>
    <row r="4" spans="1:11" x14ac:dyDescent="0.2">
      <c r="A4" s="1"/>
      <c r="B4" s="337"/>
      <c r="C4" s="359" t="s">
        <v>20</v>
      </c>
      <c r="D4" s="359" t="s">
        <v>7</v>
      </c>
      <c r="E4" s="359" t="s">
        <v>8</v>
      </c>
      <c r="F4" s="359" t="s">
        <v>10</v>
      </c>
      <c r="G4" s="359" t="s">
        <v>11</v>
      </c>
      <c r="H4" s="359" t="s">
        <v>12</v>
      </c>
      <c r="I4" s="359" t="s">
        <v>13</v>
      </c>
    </row>
    <row r="5" spans="1:11" x14ac:dyDescent="0.2">
      <c r="A5" s="1"/>
      <c r="C5" s="360"/>
      <c r="D5" s="360"/>
      <c r="E5" s="360"/>
      <c r="F5" s="360"/>
      <c r="G5" s="360"/>
      <c r="H5" s="360"/>
      <c r="I5" s="360"/>
      <c r="K5" s="21"/>
    </row>
    <row r="6" spans="1:11" s="2" customFormat="1" x14ac:dyDescent="0.2">
      <c r="A6" s="6"/>
      <c r="B6" s="24" t="s">
        <v>0</v>
      </c>
      <c r="C6" s="357" t="s">
        <v>23</v>
      </c>
      <c r="D6" s="357"/>
      <c r="E6" s="357"/>
      <c r="F6" s="357"/>
      <c r="G6" s="357"/>
      <c r="H6" s="357"/>
      <c r="I6" s="357"/>
      <c r="J6" s="3"/>
    </row>
    <row r="7" spans="1:11" ht="12.75" customHeight="1" x14ac:dyDescent="0.2">
      <c r="A7" s="344" t="s">
        <v>2</v>
      </c>
      <c r="B7" s="147" t="s">
        <v>42</v>
      </c>
      <c r="C7" s="365" t="s">
        <v>290</v>
      </c>
      <c r="D7" s="365"/>
      <c r="E7" s="365"/>
      <c r="F7" s="365"/>
      <c r="G7" s="365"/>
      <c r="H7" s="365"/>
      <c r="I7" s="365"/>
      <c r="J7" s="20"/>
      <c r="K7" s="20"/>
    </row>
    <row r="8" spans="1:11" x14ac:dyDescent="0.2">
      <c r="A8" s="344"/>
      <c r="B8" s="148" t="s">
        <v>43</v>
      </c>
      <c r="C8" s="365"/>
      <c r="D8" s="365"/>
      <c r="E8" s="365"/>
      <c r="F8" s="365"/>
      <c r="G8" s="365"/>
      <c r="H8" s="365"/>
      <c r="I8" s="365"/>
    </row>
    <row r="9" spans="1:11" x14ac:dyDescent="0.2">
      <c r="A9" s="344"/>
      <c r="B9" s="150" t="s">
        <v>217</v>
      </c>
      <c r="C9" s="365"/>
      <c r="D9" s="365"/>
      <c r="E9" s="365"/>
      <c r="F9" s="365"/>
      <c r="G9" s="365"/>
      <c r="H9" s="365"/>
      <c r="I9" s="365"/>
    </row>
    <row r="10" spans="1:11" x14ac:dyDescent="0.2">
      <c r="A10" s="344"/>
      <c r="B10" s="154" t="s">
        <v>273</v>
      </c>
      <c r="C10" s="361" t="s">
        <v>34</v>
      </c>
      <c r="D10" s="362"/>
      <c r="E10" s="362"/>
      <c r="F10" s="362"/>
      <c r="G10" s="362"/>
      <c r="H10" s="362"/>
      <c r="I10" s="363"/>
    </row>
    <row r="11" spans="1:11" s="2" customFormat="1" x14ac:dyDescent="0.2">
      <c r="A11" s="6"/>
      <c r="B11" s="7"/>
      <c r="C11" s="8"/>
      <c r="D11" s="8"/>
      <c r="E11" s="8"/>
      <c r="F11" s="8"/>
      <c r="G11" s="8"/>
      <c r="H11" s="8"/>
      <c r="I11" s="8"/>
      <c r="J11" s="3"/>
    </row>
    <row r="12" spans="1:11" s="2" customFormat="1" x14ac:dyDescent="0.2">
      <c r="A12" s="6"/>
      <c r="B12" s="7"/>
      <c r="C12" s="357" t="s">
        <v>23</v>
      </c>
      <c r="D12" s="357"/>
      <c r="E12" s="357"/>
      <c r="F12" s="357"/>
      <c r="G12" s="357"/>
      <c r="H12" s="357"/>
      <c r="I12" s="357"/>
      <c r="J12" s="3"/>
    </row>
    <row r="13" spans="1:11" x14ac:dyDescent="0.2">
      <c r="A13" s="339" t="s">
        <v>3</v>
      </c>
      <c r="B13" s="14" t="s">
        <v>47</v>
      </c>
      <c r="C13" s="146">
        <v>300000</v>
      </c>
      <c r="D13" s="146">
        <v>150000</v>
      </c>
      <c r="E13" s="146">
        <v>350000</v>
      </c>
      <c r="F13" s="146">
        <v>150000</v>
      </c>
      <c r="G13" s="146">
        <v>100000</v>
      </c>
      <c r="H13" s="146">
        <v>200000</v>
      </c>
      <c r="I13" s="146">
        <v>50000</v>
      </c>
    </row>
    <row r="14" spans="1:11" x14ac:dyDescent="0.2">
      <c r="A14" s="340"/>
      <c r="B14" s="14" t="s">
        <v>48</v>
      </c>
      <c r="C14" s="146">
        <v>400000</v>
      </c>
      <c r="D14" s="146" t="s">
        <v>14</v>
      </c>
      <c r="E14" s="146">
        <v>400000</v>
      </c>
      <c r="F14" s="146">
        <v>200000</v>
      </c>
      <c r="G14" s="146">
        <v>120000</v>
      </c>
      <c r="H14" s="146">
        <v>250000</v>
      </c>
      <c r="I14" s="146">
        <v>60000</v>
      </c>
    </row>
    <row r="15" spans="1:11" x14ac:dyDescent="0.2">
      <c r="A15" s="340"/>
      <c r="B15" s="14" t="s">
        <v>49</v>
      </c>
      <c r="C15" s="146">
        <v>100000</v>
      </c>
      <c r="D15" s="146">
        <v>50000</v>
      </c>
      <c r="E15" s="146">
        <v>60000</v>
      </c>
      <c r="F15" s="146">
        <v>50000</v>
      </c>
      <c r="G15" s="146">
        <v>90000</v>
      </c>
      <c r="H15" s="146">
        <v>70000</v>
      </c>
      <c r="I15" s="146">
        <v>60000</v>
      </c>
    </row>
    <row r="16" spans="1:11" x14ac:dyDescent="0.2">
      <c r="A16" s="341"/>
      <c r="B16" s="14" t="s">
        <v>46</v>
      </c>
      <c r="C16" s="146">
        <v>200000</v>
      </c>
      <c r="D16" s="146">
        <v>60000</v>
      </c>
      <c r="E16" s="146">
        <v>120000</v>
      </c>
      <c r="F16" s="146">
        <v>100000</v>
      </c>
      <c r="G16" s="146">
        <v>80000</v>
      </c>
      <c r="H16" s="146">
        <v>80000</v>
      </c>
      <c r="I16" s="146">
        <v>30000</v>
      </c>
    </row>
    <row r="17" spans="1:13" x14ac:dyDescent="0.2">
      <c r="A17" s="25"/>
      <c r="B17" s="25"/>
      <c r="C17" s="342" t="s">
        <v>35</v>
      </c>
      <c r="D17" s="342"/>
      <c r="E17" s="342"/>
      <c r="F17" s="342"/>
      <c r="G17" s="342"/>
      <c r="H17" s="342"/>
      <c r="I17" s="342"/>
    </row>
    <row r="18" spans="1:13" s="2" customFormat="1" x14ac:dyDescent="0.2">
      <c r="A18" s="9"/>
      <c r="B18" s="7"/>
      <c r="C18" s="8"/>
      <c r="D18" s="8"/>
      <c r="E18" s="8"/>
      <c r="F18" s="8"/>
      <c r="G18" s="8"/>
      <c r="H18" s="8"/>
      <c r="I18" s="8"/>
      <c r="J18" s="3"/>
    </row>
    <row r="19" spans="1:13" ht="15" customHeight="1" x14ac:dyDescent="0.2">
      <c r="C19" s="357" t="s">
        <v>272</v>
      </c>
      <c r="D19" s="357"/>
      <c r="E19" s="357"/>
      <c r="F19" s="357"/>
      <c r="G19" s="357"/>
      <c r="H19" s="357"/>
      <c r="I19" s="357"/>
    </row>
    <row r="20" spans="1:13" ht="37.5" hidden="1" customHeight="1" x14ac:dyDescent="0.2">
      <c r="A20" s="348"/>
      <c r="B20" s="100" t="s">
        <v>221</v>
      </c>
      <c r="C20" s="165">
        <v>15000</v>
      </c>
      <c r="D20" s="165" t="s">
        <v>14</v>
      </c>
      <c r="E20" s="165" t="s">
        <v>14</v>
      </c>
      <c r="F20" s="165" t="s">
        <v>14</v>
      </c>
      <c r="G20" s="165" t="s">
        <v>14</v>
      </c>
      <c r="H20" s="165" t="s">
        <v>14</v>
      </c>
      <c r="I20" s="165" t="s">
        <v>14</v>
      </c>
      <c r="K20" s="20"/>
    </row>
    <row r="21" spans="1:13" ht="40.5" hidden="1" customHeight="1" x14ac:dyDescent="0.2">
      <c r="A21" s="348"/>
      <c r="B21" s="100" t="s">
        <v>189</v>
      </c>
      <c r="C21" s="165" t="s">
        <v>14</v>
      </c>
      <c r="D21" s="165" t="s">
        <v>14</v>
      </c>
      <c r="E21" s="165">
        <v>40000</v>
      </c>
      <c r="F21" s="165" t="s">
        <v>14</v>
      </c>
      <c r="G21" s="165" t="s">
        <v>14</v>
      </c>
      <c r="H21" s="165" t="s">
        <v>14</v>
      </c>
      <c r="I21" s="165" t="s">
        <v>14</v>
      </c>
    </row>
    <row r="22" spans="1:13" ht="40.5" hidden="1" customHeight="1" x14ac:dyDescent="0.2">
      <c r="A22" s="348"/>
      <c r="B22" s="100" t="s">
        <v>190</v>
      </c>
      <c r="C22" s="165" t="s">
        <v>14</v>
      </c>
      <c r="D22" s="165" t="s">
        <v>14</v>
      </c>
      <c r="E22" s="165">
        <v>15000</v>
      </c>
      <c r="F22" s="165" t="s">
        <v>14</v>
      </c>
      <c r="G22" s="165" t="s">
        <v>14</v>
      </c>
      <c r="H22" s="165" t="s">
        <v>14</v>
      </c>
      <c r="I22" s="165" t="s">
        <v>14</v>
      </c>
    </row>
    <row r="23" spans="1:13" ht="43.5" hidden="1" customHeight="1" x14ac:dyDescent="0.2">
      <c r="A23" s="348"/>
      <c r="B23" s="100" t="s">
        <v>191</v>
      </c>
      <c r="C23" s="165" t="s">
        <v>14</v>
      </c>
      <c r="D23" s="165" t="s">
        <v>14</v>
      </c>
      <c r="E23" s="165">
        <v>60000</v>
      </c>
      <c r="F23" s="165" t="s">
        <v>14</v>
      </c>
      <c r="G23" s="165" t="s">
        <v>14</v>
      </c>
      <c r="H23" s="165" t="s">
        <v>14</v>
      </c>
      <c r="I23" s="165" t="s">
        <v>14</v>
      </c>
    </row>
    <row r="24" spans="1:13" ht="37.5" hidden="1" customHeight="1" x14ac:dyDescent="0.2">
      <c r="A24" s="348"/>
      <c r="B24" s="100" t="s">
        <v>188</v>
      </c>
      <c r="C24" s="165" t="s">
        <v>14</v>
      </c>
      <c r="D24" s="165" t="s">
        <v>14</v>
      </c>
      <c r="E24" s="165">
        <v>25000</v>
      </c>
      <c r="F24" s="165" t="s">
        <v>14</v>
      </c>
      <c r="G24" s="165" t="s">
        <v>14</v>
      </c>
      <c r="H24" s="165" t="s">
        <v>14</v>
      </c>
      <c r="I24" s="165" t="s">
        <v>14</v>
      </c>
      <c r="K24" s="20"/>
    </row>
    <row r="25" spans="1:13" ht="49.5" customHeight="1" x14ac:dyDescent="0.2">
      <c r="A25" s="347" t="s">
        <v>172</v>
      </c>
      <c r="B25" s="102" t="s">
        <v>206</v>
      </c>
      <c r="C25" s="165" t="s">
        <v>14</v>
      </c>
      <c r="D25" s="165" t="s">
        <v>14</v>
      </c>
      <c r="E25" s="165">
        <v>15000</v>
      </c>
      <c r="F25" s="165" t="s">
        <v>14</v>
      </c>
      <c r="G25" s="165" t="s">
        <v>14</v>
      </c>
      <c r="H25" s="165" t="s">
        <v>14</v>
      </c>
      <c r="I25" s="165" t="s">
        <v>14</v>
      </c>
      <c r="J25" s="103"/>
      <c r="K25" s="104"/>
    </row>
    <row r="26" spans="1:13" ht="56.25" customHeight="1" x14ac:dyDescent="0.2">
      <c r="A26" s="348"/>
      <c r="B26" s="102" t="s">
        <v>207</v>
      </c>
      <c r="C26" s="165" t="s">
        <v>14</v>
      </c>
      <c r="D26" s="165" t="s">
        <v>14</v>
      </c>
      <c r="E26" s="165">
        <v>11000</v>
      </c>
      <c r="F26" s="165" t="s">
        <v>14</v>
      </c>
      <c r="G26" s="165" t="s">
        <v>14</v>
      </c>
      <c r="H26" s="165" t="s">
        <v>14</v>
      </c>
      <c r="I26" s="165" t="s">
        <v>14</v>
      </c>
      <c r="J26" s="103"/>
      <c r="K26" s="104"/>
    </row>
    <row r="27" spans="1:13" ht="50.25" customHeight="1" x14ac:dyDescent="0.2">
      <c r="A27" s="348"/>
      <c r="B27" s="102" t="s">
        <v>208</v>
      </c>
      <c r="C27" s="165" t="s">
        <v>14</v>
      </c>
      <c r="D27" s="165" t="s">
        <v>14</v>
      </c>
      <c r="E27" s="165">
        <v>150000</v>
      </c>
      <c r="F27" s="165" t="s">
        <v>14</v>
      </c>
      <c r="G27" s="165" t="s">
        <v>14</v>
      </c>
      <c r="H27" s="165" t="s">
        <v>14</v>
      </c>
      <c r="I27" s="165" t="s">
        <v>14</v>
      </c>
      <c r="J27" s="103"/>
      <c r="K27" s="104"/>
    </row>
    <row r="28" spans="1:13" ht="50.25" customHeight="1" x14ac:dyDescent="0.2">
      <c r="A28" s="348"/>
      <c r="B28" s="102" t="s">
        <v>209</v>
      </c>
      <c r="C28" s="165" t="s">
        <v>14</v>
      </c>
      <c r="D28" s="165" t="s">
        <v>14</v>
      </c>
      <c r="E28" s="165">
        <v>15000</v>
      </c>
      <c r="F28" s="165" t="s">
        <v>14</v>
      </c>
      <c r="G28" s="165" t="s">
        <v>14</v>
      </c>
      <c r="H28" s="165" t="s">
        <v>14</v>
      </c>
      <c r="I28" s="165" t="s">
        <v>14</v>
      </c>
      <c r="J28" s="103"/>
      <c r="K28" s="104"/>
    </row>
    <row r="29" spans="1:13" ht="66" customHeight="1" x14ac:dyDescent="0.2">
      <c r="A29" s="348"/>
      <c r="B29" s="102" t="s">
        <v>210</v>
      </c>
      <c r="C29" s="165" t="s">
        <v>14</v>
      </c>
      <c r="D29" s="165" t="s">
        <v>14</v>
      </c>
      <c r="E29" s="165">
        <v>315000</v>
      </c>
      <c r="F29" s="165" t="s">
        <v>14</v>
      </c>
      <c r="G29" s="165" t="s">
        <v>14</v>
      </c>
      <c r="H29" s="165" t="s">
        <v>14</v>
      </c>
      <c r="I29" s="165" t="s">
        <v>14</v>
      </c>
      <c r="J29" s="30"/>
      <c r="K29" s="20"/>
    </row>
    <row r="30" spans="1:13" ht="50.25" hidden="1" customHeight="1" x14ac:dyDescent="0.2">
      <c r="A30" s="348"/>
      <c r="B30" s="102" t="s">
        <v>180</v>
      </c>
      <c r="C30" s="165" t="s">
        <v>14</v>
      </c>
      <c r="D30" s="165" t="s">
        <v>14</v>
      </c>
      <c r="E30" s="165">
        <v>18000000</v>
      </c>
      <c r="F30" s="165"/>
      <c r="G30" s="165" t="s">
        <v>14</v>
      </c>
      <c r="H30" s="165" t="s">
        <v>14</v>
      </c>
      <c r="I30" s="165" t="s">
        <v>14</v>
      </c>
      <c r="J30" s="30"/>
      <c r="K30" s="20"/>
    </row>
    <row r="31" spans="1:13" ht="39" hidden="1" customHeight="1" x14ac:dyDescent="0.2">
      <c r="A31" s="348"/>
      <c r="B31" s="100" t="s">
        <v>187</v>
      </c>
      <c r="C31" s="165" t="s">
        <v>14</v>
      </c>
      <c r="D31" s="165" t="s">
        <v>14</v>
      </c>
      <c r="E31" s="165" t="s">
        <v>14</v>
      </c>
      <c r="F31" s="165" t="s">
        <v>14</v>
      </c>
      <c r="G31" s="165" t="s">
        <v>14</v>
      </c>
      <c r="H31" s="165">
        <v>30000</v>
      </c>
      <c r="I31" s="165" t="s">
        <v>14</v>
      </c>
    </row>
    <row r="32" spans="1:13" ht="39" hidden="1" customHeight="1" x14ac:dyDescent="0.2">
      <c r="A32" s="348"/>
      <c r="B32" s="100" t="s">
        <v>212</v>
      </c>
      <c r="C32" s="165">
        <v>30000</v>
      </c>
      <c r="D32" s="165" t="s">
        <v>14</v>
      </c>
      <c r="E32" s="165" t="s">
        <v>14</v>
      </c>
      <c r="F32" s="165" t="s">
        <v>14</v>
      </c>
      <c r="G32" s="165" t="s">
        <v>14</v>
      </c>
      <c r="H32" s="165" t="s">
        <v>14</v>
      </c>
      <c r="I32" s="165" t="s">
        <v>14</v>
      </c>
      <c r="J32" s="30"/>
      <c r="K32" s="20"/>
      <c r="M32" s="16"/>
    </row>
    <row r="33" spans="1:14" ht="40.5" hidden="1" customHeight="1" x14ac:dyDescent="0.2">
      <c r="A33" s="348"/>
      <c r="B33" s="100" t="s">
        <v>213</v>
      </c>
      <c r="C33" s="165">
        <v>40000</v>
      </c>
      <c r="D33" s="165" t="s">
        <v>14</v>
      </c>
      <c r="E33" s="165" t="s">
        <v>14</v>
      </c>
      <c r="F33" s="165" t="s">
        <v>14</v>
      </c>
      <c r="G33" s="165" t="s">
        <v>14</v>
      </c>
      <c r="H33" s="165" t="s">
        <v>14</v>
      </c>
      <c r="I33" s="165" t="s">
        <v>14</v>
      </c>
    </row>
    <row r="34" spans="1:14" ht="39.75" hidden="1" customHeight="1" x14ac:dyDescent="0.2">
      <c r="A34" s="348"/>
      <c r="B34" s="100" t="s">
        <v>214</v>
      </c>
      <c r="C34" s="165">
        <v>3000</v>
      </c>
      <c r="D34" s="165" t="s">
        <v>14</v>
      </c>
      <c r="E34" s="165" t="s">
        <v>14</v>
      </c>
      <c r="F34" s="165" t="s">
        <v>14</v>
      </c>
      <c r="G34" s="165" t="s">
        <v>14</v>
      </c>
      <c r="H34" s="165" t="s">
        <v>14</v>
      </c>
      <c r="I34" s="165" t="s">
        <v>14</v>
      </c>
      <c r="K34" s="20"/>
    </row>
    <row r="35" spans="1:14" ht="37.5" hidden="1" customHeight="1" x14ac:dyDescent="0.2">
      <c r="A35" s="348"/>
      <c r="B35" s="100" t="s">
        <v>221</v>
      </c>
      <c r="C35" s="165">
        <v>15000</v>
      </c>
      <c r="D35" s="165" t="s">
        <v>14</v>
      </c>
      <c r="E35" s="165" t="s">
        <v>14</v>
      </c>
      <c r="F35" s="165" t="s">
        <v>14</v>
      </c>
      <c r="G35" s="165" t="s">
        <v>14</v>
      </c>
      <c r="H35" s="165" t="s">
        <v>14</v>
      </c>
      <c r="I35" s="165" t="s">
        <v>14</v>
      </c>
      <c r="K35" s="20"/>
    </row>
    <row r="36" spans="1:14" ht="40.5" hidden="1" customHeight="1" x14ac:dyDescent="0.2">
      <c r="A36" s="348"/>
      <c r="B36" s="100" t="s">
        <v>189</v>
      </c>
      <c r="C36" s="165" t="s">
        <v>14</v>
      </c>
      <c r="D36" s="165" t="s">
        <v>14</v>
      </c>
      <c r="E36" s="165">
        <v>40000</v>
      </c>
      <c r="F36" s="165" t="s">
        <v>14</v>
      </c>
      <c r="G36" s="165" t="s">
        <v>14</v>
      </c>
      <c r="H36" s="165" t="s">
        <v>14</v>
      </c>
      <c r="I36" s="165" t="s">
        <v>14</v>
      </c>
    </row>
    <row r="37" spans="1:14" ht="40.5" hidden="1" customHeight="1" x14ac:dyDescent="0.2">
      <c r="A37" s="348"/>
      <c r="B37" s="100" t="s">
        <v>190</v>
      </c>
      <c r="C37" s="165" t="s">
        <v>14</v>
      </c>
      <c r="D37" s="165" t="s">
        <v>14</v>
      </c>
      <c r="E37" s="165">
        <v>15000</v>
      </c>
      <c r="F37" s="165" t="s">
        <v>14</v>
      </c>
      <c r="G37" s="165" t="s">
        <v>14</v>
      </c>
      <c r="H37" s="165" t="s">
        <v>14</v>
      </c>
      <c r="I37" s="165" t="s">
        <v>14</v>
      </c>
    </row>
    <row r="38" spans="1:14" ht="43.5" hidden="1" customHeight="1" x14ac:dyDescent="0.2">
      <c r="A38" s="348"/>
      <c r="B38" s="100" t="s">
        <v>191</v>
      </c>
      <c r="C38" s="165" t="s">
        <v>14</v>
      </c>
      <c r="D38" s="165" t="s">
        <v>14</v>
      </c>
      <c r="E38" s="165">
        <v>60000</v>
      </c>
      <c r="F38" s="165" t="s">
        <v>14</v>
      </c>
      <c r="G38" s="165" t="s">
        <v>14</v>
      </c>
      <c r="H38" s="165" t="s">
        <v>14</v>
      </c>
      <c r="I38" s="165" t="s">
        <v>14</v>
      </c>
    </row>
    <row r="39" spans="1:14" ht="37.5" hidden="1" customHeight="1" x14ac:dyDescent="0.2">
      <c r="A39" s="348"/>
      <c r="B39" s="100" t="s">
        <v>188</v>
      </c>
      <c r="C39" s="165" t="s">
        <v>14</v>
      </c>
      <c r="D39" s="165" t="s">
        <v>14</v>
      </c>
      <c r="E39" s="165">
        <v>25000</v>
      </c>
      <c r="F39" s="165" t="s">
        <v>14</v>
      </c>
      <c r="G39" s="165" t="s">
        <v>14</v>
      </c>
      <c r="H39" s="165" t="s">
        <v>14</v>
      </c>
      <c r="I39" s="165" t="s">
        <v>14</v>
      </c>
      <c r="K39" s="20"/>
    </row>
    <row r="40" spans="1:14" ht="66" customHeight="1" x14ac:dyDescent="0.2">
      <c r="A40" s="184"/>
      <c r="B40" s="100" t="s">
        <v>366</v>
      </c>
      <c r="C40" s="165" t="s">
        <v>14</v>
      </c>
      <c r="D40" s="165" t="s">
        <v>14</v>
      </c>
      <c r="E40" s="165">
        <v>30000</v>
      </c>
      <c r="F40" s="165" t="s">
        <v>14</v>
      </c>
      <c r="G40" s="165" t="s">
        <v>14</v>
      </c>
      <c r="H40" s="165" t="s">
        <v>14</v>
      </c>
      <c r="I40" s="165" t="s">
        <v>14</v>
      </c>
      <c r="K40" s="30"/>
      <c r="L40" s="20"/>
    </row>
    <row r="41" spans="1:14" ht="65.25" customHeight="1" x14ac:dyDescent="0.2">
      <c r="A41" s="184"/>
      <c r="B41" s="100" t="s">
        <v>367</v>
      </c>
      <c r="C41" s="165" t="s">
        <v>14</v>
      </c>
      <c r="D41" s="165" t="s">
        <v>14</v>
      </c>
      <c r="E41" s="165">
        <v>20000</v>
      </c>
      <c r="F41" s="165" t="s">
        <v>14</v>
      </c>
      <c r="G41" s="165" t="s">
        <v>14</v>
      </c>
      <c r="H41" s="165" t="s">
        <v>14</v>
      </c>
      <c r="I41" s="165" t="s">
        <v>14</v>
      </c>
      <c r="K41" s="30"/>
      <c r="L41" s="20"/>
    </row>
    <row r="42" spans="1:14" ht="52.5" customHeight="1" x14ac:dyDescent="0.2">
      <c r="A42" s="184"/>
      <c r="B42" s="100" t="s">
        <v>444</v>
      </c>
      <c r="C42" s="165" t="s">
        <v>14</v>
      </c>
      <c r="D42" s="165" t="s">
        <v>14</v>
      </c>
      <c r="E42" s="165" t="s">
        <v>14</v>
      </c>
      <c r="F42" s="165" t="s">
        <v>14</v>
      </c>
      <c r="G42" s="165" t="s">
        <v>14</v>
      </c>
      <c r="H42" s="165" t="s">
        <v>14</v>
      </c>
      <c r="I42" s="165">
        <v>50000</v>
      </c>
      <c r="K42" s="30"/>
      <c r="L42" s="20"/>
      <c r="N42" s="16"/>
    </row>
    <row r="43" spans="1:14" ht="38.25" customHeight="1" x14ac:dyDescent="0.2">
      <c r="A43" s="184"/>
      <c r="B43" s="100" t="s">
        <v>368</v>
      </c>
      <c r="C43" s="165" t="s">
        <v>14</v>
      </c>
      <c r="D43" s="165" t="s">
        <v>14</v>
      </c>
      <c r="E43" s="165" t="s">
        <v>14</v>
      </c>
      <c r="F43" s="165">
        <v>0</v>
      </c>
      <c r="G43" s="165">
        <v>5000</v>
      </c>
      <c r="H43" s="165" t="s">
        <v>14</v>
      </c>
      <c r="I43" s="165" t="s">
        <v>14</v>
      </c>
      <c r="K43" s="30"/>
      <c r="L43" s="20"/>
      <c r="N43" s="16"/>
    </row>
    <row r="44" spans="1:14" ht="42.75" customHeight="1" x14ac:dyDescent="0.2">
      <c r="A44" s="184"/>
      <c r="B44" s="100" t="s">
        <v>369</v>
      </c>
      <c r="C44" s="165" t="s">
        <v>14</v>
      </c>
      <c r="D44" s="165" t="s">
        <v>14</v>
      </c>
      <c r="E44" s="165" t="s">
        <v>14</v>
      </c>
      <c r="F44" s="165" t="s">
        <v>14</v>
      </c>
      <c r="G44" s="165">
        <v>150000</v>
      </c>
      <c r="H44" s="165" t="s">
        <v>14</v>
      </c>
      <c r="I44" s="165" t="s">
        <v>14</v>
      </c>
    </row>
    <row r="45" spans="1:14" ht="53.25" customHeight="1" x14ac:dyDescent="0.2">
      <c r="A45" s="184"/>
      <c r="B45" s="100" t="s">
        <v>380</v>
      </c>
      <c r="C45" s="165" t="s">
        <v>14</v>
      </c>
      <c r="D45" s="165" t="s">
        <v>14</v>
      </c>
      <c r="E45" s="165" t="s">
        <v>14</v>
      </c>
      <c r="F45" s="165" t="s">
        <v>14</v>
      </c>
      <c r="G45" s="165">
        <v>10000</v>
      </c>
      <c r="H45" s="165" t="s">
        <v>14</v>
      </c>
      <c r="I45" s="165" t="s">
        <v>14</v>
      </c>
    </row>
    <row r="46" spans="1:14" ht="54" customHeight="1" x14ac:dyDescent="0.2">
      <c r="A46" s="184"/>
      <c r="B46" s="100" t="s">
        <v>370</v>
      </c>
      <c r="C46" s="165" t="s">
        <v>14</v>
      </c>
      <c r="D46" s="165" t="s">
        <v>14</v>
      </c>
      <c r="E46" s="165" t="s">
        <v>14</v>
      </c>
      <c r="F46" s="165">
        <v>250000</v>
      </c>
      <c r="G46" s="165" t="s">
        <v>14</v>
      </c>
      <c r="H46" s="165" t="s">
        <v>14</v>
      </c>
      <c r="I46" s="165" t="s">
        <v>14</v>
      </c>
    </row>
    <row r="47" spans="1:14" ht="51.75" customHeight="1" x14ac:dyDescent="0.2">
      <c r="A47" s="184"/>
      <c r="B47" s="100" t="s">
        <v>371</v>
      </c>
      <c r="C47" s="165" t="s">
        <v>14</v>
      </c>
      <c r="D47" s="165" t="s">
        <v>14</v>
      </c>
      <c r="E47" s="165" t="s">
        <v>14</v>
      </c>
      <c r="F47" s="165">
        <v>150000</v>
      </c>
      <c r="G47" s="165" t="s">
        <v>14</v>
      </c>
      <c r="H47" s="165" t="s">
        <v>14</v>
      </c>
      <c r="I47" s="165" t="s">
        <v>14</v>
      </c>
      <c r="L47" s="20"/>
    </row>
    <row r="48" spans="1:14" ht="51.75" customHeight="1" x14ac:dyDescent="0.2">
      <c r="A48" s="184"/>
      <c r="B48" s="100" t="s">
        <v>372</v>
      </c>
      <c r="C48" s="165" t="s">
        <v>14</v>
      </c>
      <c r="D48" s="165" t="s">
        <v>14</v>
      </c>
      <c r="E48" s="165" t="s">
        <v>14</v>
      </c>
      <c r="F48" s="165">
        <v>8000</v>
      </c>
      <c r="G48" s="165" t="s">
        <v>14</v>
      </c>
      <c r="H48" s="165" t="s">
        <v>14</v>
      </c>
      <c r="I48" s="165" t="s">
        <v>14</v>
      </c>
      <c r="K48" s="30"/>
      <c r="L48" s="20"/>
      <c r="N48" s="16"/>
    </row>
    <row r="49" spans="1:14" ht="52.5" customHeight="1" x14ac:dyDescent="0.2">
      <c r="A49" s="184"/>
      <c r="B49" s="100" t="s">
        <v>373</v>
      </c>
      <c r="C49" s="165" t="s">
        <v>14</v>
      </c>
      <c r="D49" s="165" t="s">
        <v>14</v>
      </c>
      <c r="E49" s="165" t="s">
        <v>14</v>
      </c>
      <c r="F49" s="165">
        <v>15000</v>
      </c>
      <c r="G49" s="165" t="s">
        <v>14</v>
      </c>
      <c r="H49" s="165" t="s">
        <v>14</v>
      </c>
      <c r="I49" s="165" t="s">
        <v>14</v>
      </c>
      <c r="K49" s="30"/>
      <c r="L49" s="20"/>
      <c r="N49" s="16"/>
    </row>
    <row r="50" spans="1:14" ht="52.5" customHeight="1" x14ac:dyDescent="0.2">
      <c r="A50" s="184"/>
      <c r="B50" s="100" t="s">
        <v>374</v>
      </c>
      <c r="C50" s="165" t="s">
        <v>14</v>
      </c>
      <c r="D50" s="165" t="s">
        <v>14</v>
      </c>
      <c r="E50" s="165" t="s">
        <v>14</v>
      </c>
      <c r="F50" s="165">
        <v>15000</v>
      </c>
      <c r="G50" s="165" t="s">
        <v>14</v>
      </c>
      <c r="H50" s="165" t="s">
        <v>14</v>
      </c>
      <c r="I50" s="165" t="s">
        <v>14</v>
      </c>
      <c r="K50" s="30"/>
      <c r="L50" s="20"/>
      <c r="N50" s="16"/>
    </row>
    <row r="51" spans="1:14" ht="39" customHeight="1" x14ac:dyDescent="0.2">
      <c r="A51" s="184"/>
      <c r="B51" s="100" t="s">
        <v>379</v>
      </c>
      <c r="C51" s="165" t="s">
        <v>14</v>
      </c>
      <c r="D51" s="165" t="s">
        <v>14</v>
      </c>
      <c r="E51" s="165" t="s">
        <v>14</v>
      </c>
      <c r="F51" s="165" t="s">
        <v>14</v>
      </c>
      <c r="G51" s="165" t="s">
        <v>14</v>
      </c>
      <c r="H51" s="165">
        <v>15000</v>
      </c>
      <c r="I51" s="165" t="s">
        <v>14</v>
      </c>
    </row>
    <row r="52" spans="1:14" ht="39" hidden="1" customHeight="1" x14ac:dyDescent="0.2">
      <c r="A52" s="184"/>
      <c r="B52" s="100" t="s">
        <v>212</v>
      </c>
      <c r="C52" s="165">
        <v>14800000</v>
      </c>
      <c r="D52" s="165" t="s">
        <v>14</v>
      </c>
      <c r="E52" s="165" t="s">
        <v>14</v>
      </c>
      <c r="F52" s="165">
        <v>0</v>
      </c>
      <c r="G52" s="165" t="s">
        <v>14</v>
      </c>
      <c r="H52" s="165" t="s">
        <v>14</v>
      </c>
      <c r="I52" s="165" t="s">
        <v>14</v>
      </c>
      <c r="K52" s="30"/>
      <c r="L52" s="20"/>
      <c r="N52" s="16"/>
    </row>
    <row r="53" spans="1:14" ht="40.5" hidden="1" customHeight="1" x14ac:dyDescent="0.2">
      <c r="A53" s="184"/>
      <c r="B53" s="100" t="s">
        <v>213</v>
      </c>
      <c r="C53" s="165">
        <v>16000000</v>
      </c>
      <c r="D53" s="165" t="s">
        <v>14</v>
      </c>
      <c r="E53" s="165" t="s">
        <v>14</v>
      </c>
      <c r="F53" s="165">
        <v>0</v>
      </c>
      <c r="G53" s="165" t="s">
        <v>14</v>
      </c>
      <c r="H53" s="165" t="s">
        <v>14</v>
      </c>
      <c r="I53" s="165" t="s">
        <v>14</v>
      </c>
    </row>
    <row r="54" spans="1:14" ht="40.5" customHeight="1" x14ac:dyDescent="0.2">
      <c r="A54" s="184"/>
      <c r="B54" s="100" t="s">
        <v>443</v>
      </c>
      <c r="C54" s="165" t="s">
        <v>14</v>
      </c>
      <c r="D54" s="165" t="s">
        <v>14</v>
      </c>
      <c r="E54" s="165" t="s">
        <v>14</v>
      </c>
      <c r="F54" s="165" t="s">
        <v>14</v>
      </c>
      <c r="G54" s="165" t="s">
        <v>14</v>
      </c>
      <c r="H54" s="165">
        <v>15000</v>
      </c>
      <c r="I54" s="165" t="s">
        <v>14</v>
      </c>
    </row>
    <row r="55" spans="1:14" ht="51" customHeight="1" x14ac:dyDescent="0.2">
      <c r="A55" s="184"/>
      <c r="B55" s="100" t="s">
        <v>375</v>
      </c>
      <c r="C55" s="165">
        <v>15000</v>
      </c>
      <c r="D55" s="165" t="s">
        <v>14</v>
      </c>
      <c r="E55" s="165" t="s">
        <v>14</v>
      </c>
      <c r="F55" s="165" t="s">
        <v>14</v>
      </c>
      <c r="G55" s="165" t="s">
        <v>14</v>
      </c>
      <c r="H55" s="165" t="s">
        <v>14</v>
      </c>
      <c r="I55" s="165" t="s">
        <v>14</v>
      </c>
    </row>
    <row r="56" spans="1:14" ht="39.75" hidden="1" customHeight="1" x14ac:dyDescent="0.2">
      <c r="A56" s="184"/>
      <c r="B56" s="100" t="s">
        <v>214</v>
      </c>
      <c r="C56" s="307">
        <v>9200000</v>
      </c>
      <c r="D56" s="307" t="s">
        <v>14</v>
      </c>
      <c r="E56" s="165" t="s">
        <v>14</v>
      </c>
      <c r="F56" s="165">
        <v>0</v>
      </c>
      <c r="G56" s="165" t="s">
        <v>14</v>
      </c>
      <c r="H56" s="165" t="s">
        <v>14</v>
      </c>
      <c r="I56" s="165" t="s">
        <v>14</v>
      </c>
      <c r="L56" s="20"/>
    </row>
    <row r="57" spans="1:14" ht="40.5" customHeight="1" x14ac:dyDescent="0.2">
      <c r="A57" s="184"/>
      <c r="B57" s="100" t="s">
        <v>314</v>
      </c>
      <c r="C57" s="165">
        <v>20000</v>
      </c>
      <c r="D57" s="165" t="s">
        <v>14</v>
      </c>
      <c r="E57" s="165" t="s">
        <v>14</v>
      </c>
      <c r="F57" s="165" t="s">
        <v>14</v>
      </c>
      <c r="G57" s="165" t="s">
        <v>14</v>
      </c>
      <c r="H57" s="165" t="s">
        <v>14</v>
      </c>
      <c r="I57" s="165" t="s">
        <v>14</v>
      </c>
    </row>
    <row r="58" spans="1:14" ht="37.5" hidden="1" customHeight="1" x14ac:dyDescent="0.2">
      <c r="A58" s="184"/>
      <c r="B58" s="100" t="s">
        <v>221</v>
      </c>
      <c r="C58" s="165">
        <v>9600000</v>
      </c>
      <c r="D58" s="165" t="s">
        <v>14</v>
      </c>
      <c r="E58" s="165" t="s">
        <v>14</v>
      </c>
      <c r="F58" s="165">
        <v>0</v>
      </c>
      <c r="G58" s="165" t="s">
        <v>14</v>
      </c>
      <c r="H58" s="165" t="s">
        <v>14</v>
      </c>
      <c r="I58" s="165" t="s">
        <v>14</v>
      </c>
      <c r="L58" s="20"/>
    </row>
    <row r="59" spans="1:14" ht="40.5" hidden="1" customHeight="1" x14ac:dyDescent="0.2">
      <c r="A59" s="184"/>
      <c r="B59" s="100" t="s">
        <v>189</v>
      </c>
      <c r="C59" s="165" t="s">
        <v>14</v>
      </c>
      <c r="D59" s="165" t="s">
        <v>14</v>
      </c>
      <c r="E59" s="165">
        <v>12400000</v>
      </c>
      <c r="F59" s="165">
        <v>0</v>
      </c>
      <c r="G59" s="165" t="s">
        <v>14</v>
      </c>
      <c r="H59" s="165" t="s">
        <v>14</v>
      </c>
      <c r="I59" s="165" t="s">
        <v>14</v>
      </c>
    </row>
    <row r="60" spans="1:14" ht="40.5" hidden="1" customHeight="1" x14ac:dyDescent="0.2">
      <c r="A60" s="184"/>
      <c r="B60" s="100" t="s">
        <v>190</v>
      </c>
      <c r="C60" s="165" t="s">
        <v>14</v>
      </c>
      <c r="D60" s="165" t="s">
        <v>14</v>
      </c>
      <c r="E60" s="165">
        <v>9600000</v>
      </c>
      <c r="F60" s="165">
        <v>0</v>
      </c>
      <c r="G60" s="165" t="s">
        <v>14</v>
      </c>
      <c r="H60" s="165" t="s">
        <v>14</v>
      </c>
      <c r="I60" s="165" t="s">
        <v>14</v>
      </c>
    </row>
    <row r="61" spans="1:14" ht="43.5" hidden="1" customHeight="1" x14ac:dyDescent="0.2">
      <c r="A61" s="184"/>
      <c r="B61" s="100" t="s">
        <v>191</v>
      </c>
      <c r="C61" s="165" t="s">
        <v>14</v>
      </c>
      <c r="D61" s="165" t="s">
        <v>14</v>
      </c>
      <c r="E61" s="165">
        <v>16400000</v>
      </c>
      <c r="F61" s="165">
        <v>0</v>
      </c>
      <c r="G61" s="165" t="s">
        <v>14</v>
      </c>
      <c r="H61" s="165" t="s">
        <v>14</v>
      </c>
      <c r="I61" s="165" t="s">
        <v>14</v>
      </c>
    </row>
    <row r="62" spans="1:14" ht="37.5" hidden="1" customHeight="1" x14ac:dyDescent="0.2">
      <c r="A62" s="184"/>
      <c r="B62" s="100" t="s">
        <v>188</v>
      </c>
      <c r="C62" s="165" t="s">
        <v>14</v>
      </c>
      <c r="D62" s="165" t="s">
        <v>14</v>
      </c>
      <c r="E62" s="165">
        <v>14400000</v>
      </c>
      <c r="F62" s="165">
        <v>0</v>
      </c>
      <c r="G62" s="165" t="s">
        <v>14</v>
      </c>
      <c r="H62" s="165" t="s">
        <v>14</v>
      </c>
      <c r="I62" s="165" t="s">
        <v>14</v>
      </c>
      <c r="L62" s="20"/>
    </row>
    <row r="63" spans="1:14" ht="40.5" customHeight="1" x14ac:dyDescent="0.2">
      <c r="A63" s="184"/>
      <c r="B63" s="100" t="s">
        <v>315</v>
      </c>
      <c r="C63" s="165">
        <v>15000</v>
      </c>
      <c r="D63" s="165" t="s">
        <v>14</v>
      </c>
      <c r="E63" s="165" t="s">
        <v>14</v>
      </c>
      <c r="F63" s="165" t="s">
        <v>14</v>
      </c>
      <c r="G63" s="165" t="s">
        <v>14</v>
      </c>
      <c r="H63" s="165" t="s">
        <v>14</v>
      </c>
      <c r="I63" s="165" t="s">
        <v>14</v>
      </c>
    </row>
    <row r="64" spans="1:14" x14ac:dyDescent="0.2">
      <c r="C64" s="342" t="s">
        <v>134</v>
      </c>
      <c r="D64" s="342"/>
      <c r="E64" s="342"/>
      <c r="F64" s="342"/>
      <c r="G64" s="342"/>
      <c r="H64" s="342"/>
      <c r="I64" s="342"/>
    </row>
    <row r="65" spans="1:10" x14ac:dyDescent="0.2">
      <c r="C65" s="342" t="s">
        <v>186</v>
      </c>
      <c r="D65" s="342"/>
      <c r="E65" s="342"/>
      <c r="F65" s="342"/>
      <c r="G65" s="342"/>
      <c r="H65" s="342"/>
      <c r="I65" s="342"/>
    </row>
    <row r="66" spans="1:10" s="2" customFormat="1" x14ac:dyDescent="0.2">
      <c r="A66" s="9"/>
      <c r="B66" s="7"/>
      <c r="C66" s="8"/>
      <c r="D66" s="8"/>
      <c r="E66" s="8"/>
      <c r="F66" s="8"/>
      <c r="G66" s="8"/>
      <c r="H66" s="8"/>
      <c r="I66" s="8"/>
      <c r="J66" s="3"/>
    </row>
    <row r="67" spans="1:10" s="2" customFormat="1" x14ac:dyDescent="0.2">
      <c r="A67" s="9"/>
      <c r="B67" s="7"/>
      <c r="C67" s="8"/>
      <c r="D67" s="8"/>
      <c r="E67" s="8"/>
      <c r="F67" s="8"/>
      <c r="G67" s="8"/>
      <c r="H67" s="8"/>
      <c r="I67" s="8"/>
      <c r="J67" s="3"/>
    </row>
    <row r="68" spans="1:10" s="2" customFormat="1" x14ac:dyDescent="0.2">
      <c r="A68" s="9"/>
      <c r="B68" s="7"/>
      <c r="C68" s="357" t="s">
        <v>24</v>
      </c>
      <c r="D68" s="357"/>
      <c r="E68" s="357"/>
      <c r="F68" s="357"/>
      <c r="G68" s="357"/>
      <c r="H68" s="357"/>
      <c r="I68" s="357"/>
      <c r="J68" s="3"/>
    </row>
    <row r="69" spans="1:10" ht="27" customHeight="1" x14ac:dyDescent="0.2">
      <c r="A69" s="12" t="s">
        <v>22</v>
      </c>
      <c r="B69" s="14" t="s">
        <v>50</v>
      </c>
      <c r="C69" s="165">
        <v>3000</v>
      </c>
      <c r="D69" s="165" t="s">
        <v>14</v>
      </c>
      <c r="E69" s="165">
        <v>2200</v>
      </c>
      <c r="F69" s="165">
        <v>500</v>
      </c>
      <c r="G69" s="165" t="s">
        <v>14</v>
      </c>
      <c r="H69" s="165">
        <v>1500</v>
      </c>
      <c r="I69" s="165" t="s">
        <v>14</v>
      </c>
    </row>
    <row r="70" spans="1:10" x14ac:dyDescent="0.2">
      <c r="A70" s="25"/>
      <c r="B70" s="25"/>
      <c r="C70" s="342" t="s">
        <v>35</v>
      </c>
      <c r="D70" s="342"/>
      <c r="E70" s="342"/>
      <c r="F70" s="342"/>
      <c r="G70" s="342"/>
      <c r="H70" s="342"/>
      <c r="I70" s="342"/>
    </row>
    <row r="71" spans="1:10" s="2" customFormat="1" x14ac:dyDescent="0.2">
      <c r="A71" s="10"/>
      <c r="B71" s="7"/>
      <c r="C71" s="8"/>
      <c r="D71" s="8"/>
      <c r="E71" s="8"/>
      <c r="F71" s="8"/>
      <c r="G71" s="8"/>
      <c r="H71" s="8"/>
      <c r="I71" s="8"/>
    </row>
    <row r="72" spans="1:10" s="2" customFormat="1" x14ac:dyDescent="0.2">
      <c r="A72" s="10"/>
      <c r="B72" s="7"/>
      <c r="C72" s="357" t="s">
        <v>24</v>
      </c>
      <c r="D72" s="357"/>
      <c r="E72" s="357"/>
      <c r="F72" s="357"/>
      <c r="G72" s="357"/>
      <c r="H72" s="357"/>
      <c r="I72" s="357"/>
    </row>
    <row r="73" spans="1:10" ht="23.25" customHeight="1" x14ac:dyDescent="0.2">
      <c r="A73" s="355" t="s">
        <v>4</v>
      </c>
      <c r="B73" s="14" t="s">
        <v>216</v>
      </c>
      <c r="C73" s="146">
        <v>8000</v>
      </c>
      <c r="D73" s="146">
        <v>3000</v>
      </c>
      <c r="E73" s="146">
        <v>27000</v>
      </c>
      <c r="F73" s="146">
        <v>6000</v>
      </c>
      <c r="G73" s="146">
        <v>4000</v>
      </c>
      <c r="H73" s="146">
        <v>15000</v>
      </c>
      <c r="I73" s="146">
        <v>35000</v>
      </c>
      <c r="J73" s="16"/>
    </row>
    <row r="74" spans="1:10" ht="20.25" customHeight="1" x14ac:dyDescent="0.2">
      <c r="A74" s="356"/>
      <c r="B74" s="14" t="s">
        <v>244</v>
      </c>
      <c r="C74" s="146">
        <v>6000</v>
      </c>
      <c r="D74" s="146">
        <v>2000</v>
      </c>
      <c r="E74" s="146">
        <v>5000</v>
      </c>
      <c r="F74" s="146">
        <v>4000</v>
      </c>
      <c r="G74" s="146">
        <v>2000</v>
      </c>
      <c r="H74" s="146">
        <v>16000</v>
      </c>
      <c r="I74" s="146">
        <v>24000</v>
      </c>
    </row>
    <row r="75" spans="1:10" ht="16.5" customHeight="1" x14ac:dyDescent="0.2">
      <c r="A75" s="356"/>
      <c r="B75" s="14" t="s">
        <v>240</v>
      </c>
      <c r="C75" s="146">
        <v>10000</v>
      </c>
      <c r="D75" s="146">
        <v>4000</v>
      </c>
      <c r="E75" s="146">
        <v>10000</v>
      </c>
      <c r="F75" s="146">
        <v>10000</v>
      </c>
      <c r="G75" s="146">
        <v>7000</v>
      </c>
      <c r="H75" s="146">
        <v>35000</v>
      </c>
      <c r="I75" s="146">
        <v>35000</v>
      </c>
    </row>
    <row r="76" spans="1:10" ht="16.5" hidden="1" customHeight="1" x14ac:dyDescent="0.2">
      <c r="A76" s="356"/>
      <c r="B76" s="13" t="s">
        <v>29</v>
      </c>
      <c r="C76" s="22"/>
      <c r="D76" s="22"/>
      <c r="E76" s="22"/>
      <c r="F76" s="22"/>
      <c r="G76" s="22"/>
      <c r="H76" s="22"/>
      <c r="I76" s="22"/>
    </row>
    <row r="77" spans="1:10" x14ac:dyDescent="0.2">
      <c r="A77" s="25"/>
      <c r="B77" s="25"/>
      <c r="C77" s="342" t="s">
        <v>35</v>
      </c>
      <c r="D77" s="342"/>
      <c r="E77" s="342"/>
      <c r="F77" s="342"/>
      <c r="G77" s="342"/>
      <c r="H77" s="342"/>
      <c r="I77" s="342"/>
    </row>
    <row r="78" spans="1:10" s="2" customFormat="1" x14ac:dyDescent="0.2">
      <c r="A78" s="10"/>
      <c r="B78" s="7"/>
      <c r="C78" s="7"/>
      <c r="D78" s="7"/>
      <c r="E78" s="7"/>
      <c r="F78" s="7"/>
      <c r="G78" s="7"/>
      <c r="H78" s="7"/>
      <c r="I78" s="7"/>
      <c r="J78" s="7"/>
    </row>
    <row r="79" spans="1:10" s="2" customFormat="1" x14ac:dyDescent="0.2">
      <c r="A79" s="10"/>
      <c r="B79" s="7"/>
      <c r="C79" s="357" t="s">
        <v>24</v>
      </c>
      <c r="D79" s="357"/>
      <c r="E79" s="357"/>
      <c r="F79" s="357"/>
      <c r="G79" s="357"/>
      <c r="H79" s="357"/>
      <c r="I79" s="357"/>
    </row>
    <row r="80" spans="1:10" ht="18" customHeight="1" x14ac:dyDescent="0.2">
      <c r="A80" s="375" t="s">
        <v>25</v>
      </c>
      <c r="B80" s="14" t="s">
        <v>26</v>
      </c>
      <c r="C80" s="146">
        <v>14000</v>
      </c>
      <c r="D80" s="146">
        <v>5000</v>
      </c>
      <c r="E80" s="146">
        <v>20000</v>
      </c>
      <c r="F80" s="146">
        <v>8000</v>
      </c>
      <c r="G80" s="146">
        <v>2000</v>
      </c>
      <c r="H80" s="146">
        <v>2000</v>
      </c>
      <c r="I80" s="146">
        <v>6000</v>
      </c>
    </row>
    <row r="81" spans="1:9" ht="17.25" customHeight="1" x14ac:dyDescent="0.2">
      <c r="A81" s="376"/>
      <c r="B81" s="14" t="s">
        <v>244</v>
      </c>
      <c r="C81" s="146">
        <v>3000</v>
      </c>
      <c r="D81" s="146">
        <v>4000</v>
      </c>
      <c r="E81" s="146">
        <v>10000</v>
      </c>
      <c r="F81" s="146">
        <v>50000</v>
      </c>
      <c r="G81" s="146">
        <v>1000</v>
      </c>
      <c r="H81" s="146">
        <v>9000</v>
      </c>
      <c r="I81" s="146">
        <v>20000</v>
      </c>
    </row>
    <row r="82" spans="1:9" x14ac:dyDescent="0.2">
      <c r="A82" s="25"/>
      <c r="B82" s="25"/>
      <c r="C82" s="342" t="s">
        <v>35</v>
      </c>
      <c r="D82" s="342"/>
      <c r="E82" s="342"/>
      <c r="F82" s="342"/>
      <c r="G82" s="342"/>
      <c r="H82" s="342"/>
      <c r="I82" s="342"/>
    </row>
    <row r="83" spans="1:9" s="2" customFormat="1" x14ac:dyDescent="0.2">
      <c r="A83" s="10"/>
      <c r="B83" s="7"/>
      <c r="C83" s="8"/>
      <c r="D83" s="8"/>
      <c r="E83" s="8"/>
      <c r="F83" s="8"/>
      <c r="G83" s="8"/>
      <c r="H83" s="8"/>
      <c r="I83" s="8"/>
    </row>
    <row r="84" spans="1:9" s="2" customFormat="1" x14ac:dyDescent="0.2">
      <c r="A84" s="10"/>
      <c r="B84" s="7"/>
      <c r="C84" s="357" t="s">
        <v>28</v>
      </c>
      <c r="D84" s="357"/>
      <c r="E84" s="357"/>
      <c r="F84" s="357"/>
      <c r="G84" s="357"/>
      <c r="H84" s="357"/>
      <c r="I84" s="357"/>
    </row>
    <row r="85" spans="1:9" ht="42" customHeight="1" x14ac:dyDescent="0.2">
      <c r="A85" s="353" t="s">
        <v>17</v>
      </c>
      <c r="B85" s="17" t="s">
        <v>241</v>
      </c>
      <c r="C85" s="165">
        <v>10000</v>
      </c>
      <c r="D85" s="165" t="s">
        <v>14</v>
      </c>
      <c r="E85" s="165">
        <v>8000</v>
      </c>
      <c r="F85" s="165">
        <v>17000</v>
      </c>
      <c r="G85" s="165">
        <v>12000</v>
      </c>
      <c r="H85" s="165">
        <v>20000</v>
      </c>
      <c r="I85" s="165">
        <v>150000</v>
      </c>
    </row>
    <row r="86" spans="1:9" ht="17.25" hidden="1" customHeight="1" x14ac:dyDescent="0.2">
      <c r="A86" s="354"/>
      <c r="B86" s="17" t="s">
        <v>27</v>
      </c>
      <c r="C86" s="23"/>
      <c r="D86" s="23"/>
      <c r="E86" s="23"/>
      <c r="F86" s="23"/>
      <c r="G86" s="23"/>
      <c r="H86" s="23"/>
      <c r="I86" s="23"/>
    </row>
    <row r="87" spans="1:9" x14ac:dyDescent="0.2">
      <c r="A87" s="25"/>
      <c r="B87" s="25"/>
      <c r="C87" s="342" t="s">
        <v>35</v>
      </c>
      <c r="D87" s="342"/>
      <c r="E87" s="342"/>
      <c r="F87" s="342"/>
      <c r="G87" s="342"/>
      <c r="H87" s="342"/>
      <c r="I87" s="342"/>
    </row>
    <row r="89" spans="1:9" s="2" customFormat="1" x14ac:dyDescent="0.2">
      <c r="A89" s="10"/>
      <c r="B89" s="7"/>
      <c r="C89" s="357" t="s">
        <v>30</v>
      </c>
      <c r="D89" s="357"/>
      <c r="E89" s="357"/>
      <c r="F89" s="357"/>
      <c r="G89" s="357"/>
      <c r="H89" s="357"/>
      <c r="I89" s="357"/>
    </row>
    <row r="90" spans="1:9" ht="48" customHeight="1" x14ac:dyDescent="0.2">
      <c r="A90" s="11" t="s">
        <v>5</v>
      </c>
      <c r="B90" s="152" t="s">
        <v>242</v>
      </c>
      <c r="C90" s="165">
        <v>5000</v>
      </c>
      <c r="D90" s="165" t="s">
        <v>195</v>
      </c>
      <c r="E90" s="165">
        <v>7000</v>
      </c>
      <c r="F90" s="165">
        <v>4000</v>
      </c>
      <c r="G90" s="165">
        <v>3000</v>
      </c>
      <c r="H90" s="165">
        <v>4000</v>
      </c>
      <c r="I90" s="165">
        <v>80000</v>
      </c>
    </row>
    <row r="91" spans="1:9" x14ac:dyDescent="0.2">
      <c r="A91" s="25"/>
      <c r="B91" s="25"/>
      <c r="C91" s="342" t="s">
        <v>35</v>
      </c>
      <c r="D91" s="342"/>
      <c r="E91" s="342"/>
      <c r="F91" s="342"/>
      <c r="G91" s="342"/>
      <c r="H91" s="342"/>
      <c r="I91" s="342"/>
    </row>
    <row r="92" spans="1:9" s="2" customFormat="1" x14ac:dyDescent="0.2">
      <c r="A92" s="10"/>
      <c r="B92" s="7"/>
      <c r="C92" s="8"/>
      <c r="D92" s="8"/>
      <c r="E92" s="8"/>
      <c r="F92" s="8"/>
      <c r="G92" s="8"/>
      <c r="H92" s="8"/>
      <c r="I92" s="8"/>
    </row>
    <row r="93" spans="1:9" s="2" customFormat="1" x14ac:dyDescent="0.2">
      <c r="A93" s="10"/>
      <c r="B93" s="7"/>
      <c r="C93" s="357" t="s">
        <v>31</v>
      </c>
      <c r="D93" s="357"/>
      <c r="E93" s="357"/>
      <c r="F93" s="357"/>
      <c r="G93" s="357"/>
      <c r="H93" s="357"/>
      <c r="I93" s="357"/>
    </row>
    <row r="94" spans="1:9" s="166" customFormat="1" ht="18" customHeight="1" x14ac:dyDescent="0.25">
      <c r="A94" s="377" t="s">
        <v>32</v>
      </c>
      <c r="B94" s="149" t="s">
        <v>52</v>
      </c>
      <c r="C94" s="366" t="s">
        <v>33</v>
      </c>
      <c r="D94" s="367"/>
      <c r="E94" s="367"/>
      <c r="F94" s="367"/>
      <c r="G94" s="367"/>
      <c r="H94" s="367"/>
      <c r="I94" s="368"/>
    </row>
    <row r="95" spans="1:9" s="166" customFormat="1" ht="18" customHeight="1" x14ac:dyDescent="0.25">
      <c r="A95" s="378"/>
      <c r="B95" s="149" t="s">
        <v>245</v>
      </c>
      <c r="C95" s="369"/>
      <c r="D95" s="370"/>
      <c r="E95" s="370"/>
      <c r="F95" s="370"/>
      <c r="G95" s="370"/>
      <c r="H95" s="370"/>
      <c r="I95" s="371"/>
    </row>
    <row r="96" spans="1:9" s="166" customFormat="1" ht="18" customHeight="1" x14ac:dyDescent="0.25">
      <c r="A96" s="378"/>
      <c r="B96" s="149" t="s">
        <v>246</v>
      </c>
      <c r="C96" s="369"/>
      <c r="D96" s="370"/>
      <c r="E96" s="370"/>
      <c r="F96" s="370"/>
      <c r="G96" s="370"/>
      <c r="H96" s="370"/>
      <c r="I96" s="371"/>
    </row>
    <row r="97" spans="1:9" s="166" customFormat="1" ht="18" customHeight="1" x14ac:dyDescent="0.25">
      <c r="A97" s="378"/>
      <c r="B97" s="149" t="s">
        <v>247</v>
      </c>
      <c r="C97" s="369"/>
      <c r="D97" s="370"/>
      <c r="E97" s="370"/>
      <c r="F97" s="370"/>
      <c r="G97" s="370"/>
      <c r="H97" s="370"/>
      <c r="I97" s="371"/>
    </row>
    <row r="98" spans="1:9" s="166" customFormat="1" ht="18" customHeight="1" x14ac:dyDescent="0.25">
      <c r="A98" s="378"/>
      <c r="B98" s="149" t="s">
        <v>248</v>
      </c>
      <c r="C98" s="372"/>
      <c r="D98" s="373"/>
      <c r="E98" s="373"/>
      <c r="F98" s="373"/>
      <c r="G98" s="373"/>
      <c r="H98" s="373"/>
      <c r="I98" s="374"/>
    </row>
    <row r="99" spans="1:9" s="2" customFormat="1" x14ac:dyDescent="0.2">
      <c r="A99" s="10"/>
      <c r="B99" s="7"/>
      <c r="C99" s="8"/>
      <c r="D99" s="8"/>
      <c r="E99" s="8"/>
      <c r="F99" s="8"/>
      <c r="G99" s="8"/>
      <c r="H99" s="8"/>
      <c r="I99" s="8"/>
    </row>
    <row r="100" spans="1:9" ht="15" customHeight="1" x14ac:dyDescent="0.2"/>
    <row r="101" spans="1:9" ht="15" customHeight="1" x14ac:dyDescent="0.2">
      <c r="C101" s="357" t="s">
        <v>274</v>
      </c>
      <c r="D101" s="357"/>
      <c r="E101" s="357"/>
      <c r="F101" s="357"/>
      <c r="G101" s="357"/>
      <c r="H101" s="357"/>
      <c r="I101" s="357"/>
    </row>
    <row r="102" spans="1:9" ht="17.100000000000001" customHeight="1" x14ac:dyDescent="0.2">
      <c r="A102" s="364" t="s">
        <v>6</v>
      </c>
      <c r="B102" s="101" t="s">
        <v>181</v>
      </c>
      <c r="C102" s="23">
        <v>105000</v>
      </c>
      <c r="D102" s="15" t="s">
        <v>14</v>
      </c>
      <c r="E102" s="23">
        <v>120000</v>
      </c>
      <c r="F102" s="23">
        <v>105000</v>
      </c>
      <c r="G102" s="23">
        <v>101000</v>
      </c>
      <c r="H102" s="23">
        <v>104000</v>
      </c>
      <c r="I102" s="23">
        <v>101000</v>
      </c>
    </row>
    <row r="103" spans="1:9" ht="17.100000000000001" hidden="1" customHeight="1" x14ac:dyDescent="0.2">
      <c r="A103" s="346"/>
      <c r="B103" s="102" t="s">
        <v>132</v>
      </c>
      <c r="C103" s="15"/>
      <c r="D103" s="15"/>
      <c r="E103" s="15"/>
      <c r="F103" s="15"/>
      <c r="G103" s="15"/>
      <c r="H103" s="15"/>
      <c r="I103" s="15"/>
    </row>
    <row r="104" spans="1:9" ht="17.100000000000001" customHeight="1" x14ac:dyDescent="0.2">
      <c r="A104" s="346"/>
      <c r="B104" s="151" t="s">
        <v>133</v>
      </c>
      <c r="C104" s="23" t="s">
        <v>14</v>
      </c>
      <c r="D104" s="23" t="s">
        <v>14</v>
      </c>
      <c r="E104" s="23">
        <v>100000</v>
      </c>
      <c r="F104" s="23">
        <v>100000</v>
      </c>
      <c r="G104" s="23">
        <v>100000</v>
      </c>
      <c r="H104" s="23">
        <v>100000</v>
      </c>
      <c r="I104" s="23">
        <v>100000</v>
      </c>
    </row>
    <row r="105" spans="1:9" ht="17.100000000000001" hidden="1" customHeight="1" x14ac:dyDescent="0.2">
      <c r="A105" s="346"/>
      <c r="B105" s="101" t="s">
        <v>38</v>
      </c>
      <c r="C105" s="15"/>
      <c r="D105" s="23"/>
      <c r="E105" s="23"/>
      <c r="F105" s="23"/>
      <c r="G105" s="23"/>
      <c r="H105" s="23"/>
      <c r="I105" s="23"/>
    </row>
    <row r="106" spans="1:9" ht="17.100000000000001" hidden="1" customHeight="1" x14ac:dyDescent="0.2">
      <c r="A106" s="346"/>
      <c r="B106" s="101" t="s">
        <v>215</v>
      </c>
      <c r="C106" s="15"/>
      <c r="D106" s="23"/>
      <c r="E106" s="23"/>
      <c r="F106" s="23"/>
      <c r="G106" s="23"/>
      <c r="H106" s="23"/>
      <c r="I106" s="23"/>
    </row>
    <row r="107" spans="1:9" ht="17.100000000000001" customHeight="1" x14ac:dyDescent="0.2">
      <c r="A107" s="346"/>
      <c r="B107" s="101" t="s">
        <v>39</v>
      </c>
      <c r="C107" s="23" t="s">
        <v>14</v>
      </c>
      <c r="D107" s="23">
        <v>500000</v>
      </c>
      <c r="E107" s="23" t="s">
        <v>14</v>
      </c>
      <c r="F107" s="23" t="s">
        <v>14</v>
      </c>
      <c r="G107" s="23" t="s">
        <v>14</v>
      </c>
      <c r="H107" s="23" t="s">
        <v>14</v>
      </c>
      <c r="I107" s="23" t="s">
        <v>14</v>
      </c>
    </row>
    <row r="108" spans="1:9" ht="17.100000000000001" customHeight="1" x14ac:dyDescent="0.2">
      <c r="A108" s="346"/>
      <c r="B108" s="101" t="s">
        <v>182</v>
      </c>
      <c r="C108" s="23" t="s">
        <v>14</v>
      </c>
      <c r="D108" s="23">
        <v>300000</v>
      </c>
      <c r="E108" s="23" t="s">
        <v>14</v>
      </c>
      <c r="F108" s="23" t="s">
        <v>14</v>
      </c>
      <c r="G108" s="23" t="s">
        <v>14</v>
      </c>
      <c r="H108" s="23" t="s">
        <v>14</v>
      </c>
      <c r="I108" s="23" t="s">
        <v>14</v>
      </c>
    </row>
    <row r="109" spans="1:9" ht="17.100000000000001" customHeight="1" x14ac:dyDescent="0.2">
      <c r="A109" s="346"/>
      <c r="B109" s="101" t="s">
        <v>40</v>
      </c>
      <c r="C109" s="23">
        <v>300000</v>
      </c>
      <c r="D109" s="23" t="s">
        <v>14</v>
      </c>
      <c r="E109" s="23" t="s">
        <v>14</v>
      </c>
      <c r="F109" s="23" t="s">
        <v>14</v>
      </c>
      <c r="G109" s="23" t="s">
        <v>14</v>
      </c>
      <c r="H109" s="23" t="s">
        <v>14</v>
      </c>
      <c r="I109" s="23" t="s">
        <v>14</v>
      </c>
    </row>
    <row r="110" spans="1:9" ht="17.100000000000001" customHeight="1" x14ac:dyDescent="0.2">
      <c r="A110" s="346"/>
      <c r="B110" s="101" t="s">
        <v>41</v>
      </c>
      <c r="C110" s="23">
        <v>200000</v>
      </c>
      <c r="D110" s="23" t="s">
        <v>14</v>
      </c>
      <c r="E110" s="23" t="s">
        <v>14</v>
      </c>
      <c r="F110" s="23" t="s">
        <v>14</v>
      </c>
      <c r="G110" s="23" t="s">
        <v>14</v>
      </c>
      <c r="H110" s="23" t="s">
        <v>14</v>
      </c>
      <c r="I110" s="23" t="s">
        <v>14</v>
      </c>
    </row>
    <row r="111" spans="1:9" ht="17.100000000000001" customHeight="1" x14ac:dyDescent="0.2">
      <c r="A111" s="346"/>
      <c r="B111" s="101" t="s">
        <v>183</v>
      </c>
      <c r="C111" s="23">
        <v>1000000</v>
      </c>
      <c r="D111" s="23" t="s">
        <v>14</v>
      </c>
      <c r="E111" s="23">
        <v>800000</v>
      </c>
      <c r="F111" s="23" t="s">
        <v>14</v>
      </c>
      <c r="G111" s="23" t="s">
        <v>14</v>
      </c>
      <c r="H111" s="23" t="s">
        <v>14</v>
      </c>
      <c r="I111" s="23" t="s">
        <v>14</v>
      </c>
    </row>
    <row r="112" spans="1:9" ht="17.100000000000001" customHeight="1" x14ac:dyDescent="0.2">
      <c r="A112" s="346"/>
      <c r="B112" s="101" t="s">
        <v>292</v>
      </c>
      <c r="C112" s="23" t="s">
        <v>291</v>
      </c>
      <c r="D112" s="23" t="s">
        <v>14</v>
      </c>
      <c r="E112" s="23" t="s">
        <v>291</v>
      </c>
      <c r="F112" s="23" t="s">
        <v>291</v>
      </c>
      <c r="G112" s="23" t="s">
        <v>291</v>
      </c>
      <c r="H112" s="23" t="s">
        <v>291</v>
      </c>
      <c r="I112" s="23" t="s">
        <v>291</v>
      </c>
    </row>
    <row r="113" spans="1:9" x14ac:dyDescent="0.2">
      <c r="C113" s="342" t="s">
        <v>35</v>
      </c>
      <c r="D113" s="342"/>
      <c r="E113" s="342"/>
      <c r="F113" s="342"/>
      <c r="G113" s="342"/>
      <c r="H113" s="342"/>
      <c r="I113" s="342"/>
    </row>
    <row r="114" spans="1:9" x14ac:dyDescent="0.2">
      <c r="A114" s="349"/>
      <c r="B114" s="349"/>
      <c r="C114" s="349"/>
    </row>
    <row r="115" spans="1:9" ht="12.75" customHeight="1" x14ac:dyDescent="0.2"/>
    <row r="116" spans="1:9" ht="12.75" customHeight="1" x14ac:dyDescent="0.2"/>
    <row r="117" spans="1:9" ht="26.25" customHeight="1" x14ac:dyDescent="0.2"/>
    <row r="118" spans="1:9" ht="12.75" customHeight="1" x14ac:dyDescent="0.2"/>
    <row r="119" spans="1:9" ht="12.75" customHeight="1" x14ac:dyDescent="0.2"/>
    <row r="120" spans="1:9" ht="12.75" customHeight="1" x14ac:dyDescent="0.2"/>
    <row r="121" spans="1:9" ht="12.75" customHeight="1" x14ac:dyDescent="0.2"/>
    <row r="122" spans="1:9" ht="12.75" customHeight="1" x14ac:dyDescent="0.2">
      <c r="A122" s="349"/>
      <c r="B122" s="349"/>
      <c r="C122" s="349"/>
      <c r="D122" s="349"/>
    </row>
  </sheetData>
  <mergeCells count="42">
    <mergeCell ref="C94:I98"/>
    <mergeCell ref="C82:I82"/>
    <mergeCell ref="C87:I87"/>
    <mergeCell ref="C79:I79"/>
    <mergeCell ref="A114:C114"/>
    <mergeCell ref="C113:I113"/>
    <mergeCell ref="C91:I91"/>
    <mergeCell ref="C89:I89"/>
    <mergeCell ref="A80:A81"/>
    <mergeCell ref="A94:A98"/>
    <mergeCell ref="A20:A24"/>
    <mergeCell ref="C64:I64"/>
    <mergeCell ref="C65:I65"/>
    <mergeCell ref="A13:A16"/>
    <mergeCell ref="C68:I68"/>
    <mergeCell ref="A25:A39"/>
    <mergeCell ref="A122:D122"/>
    <mergeCell ref="E4:E5"/>
    <mergeCell ref="F4:F5"/>
    <mergeCell ref="C101:I101"/>
    <mergeCell ref="A102:A112"/>
    <mergeCell ref="G4:G5"/>
    <mergeCell ref="H4:H5"/>
    <mergeCell ref="I4:I5"/>
    <mergeCell ref="A85:A86"/>
    <mergeCell ref="C6:I6"/>
    <mergeCell ref="C93:I93"/>
    <mergeCell ref="C7:I9"/>
    <mergeCell ref="A73:A76"/>
    <mergeCell ref="C70:I70"/>
    <mergeCell ref="C17:I17"/>
    <mergeCell ref="A7:A10"/>
    <mergeCell ref="B2:B4"/>
    <mergeCell ref="C77:I77"/>
    <mergeCell ref="C84:I84"/>
    <mergeCell ref="C2:I2"/>
    <mergeCell ref="D4:D5"/>
    <mergeCell ref="C19:I19"/>
    <mergeCell ref="C4:C5"/>
    <mergeCell ref="C12:I12"/>
    <mergeCell ref="C72:I72"/>
    <mergeCell ref="C10:I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CDB7-FB2B-4245-925F-00515225F748}">
  <dimension ref="A1:L157"/>
  <sheetViews>
    <sheetView showGridLines="0" zoomScale="90" zoomScaleNormal="90" workbookViewId="0">
      <selection activeCell="K83" sqref="K83"/>
    </sheetView>
  </sheetViews>
  <sheetFormatPr baseColWidth="10" defaultRowHeight="15" x14ac:dyDescent="0.25"/>
  <cols>
    <col min="1" max="1" width="16.140625" customWidth="1"/>
    <col min="4" max="4" width="27.85546875" customWidth="1"/>
    <col min="9" max="9" width="13.7109375" customWidth="1"/>
    <col min="11" max="11" width="14" customWidth="1"/>
    <col min="12" max="12" width="0" hidden="1" customWidth="1"/>
  </cols>
  <sheetData>
    <row r="1" spans="1:12" ht="20.25" thickBot="1" x14ac:dyDescent="0.35">
      <c r="A1" s="384" t="s">
        <v>275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2" ht="15.75" thickBot="1" x14ac:dyDescent="0.3">
      <c r="A2" s="49" t="s">
        <v>63</v>
      </c>
      <c r="B2" s="50" t="s">
        <v>64</v>
      </c>
      <c r="C2" s="50" t="s">
        <v>65</v>
      </c>
      <c r="D2" s="50" t="s">
        <v>66</v>
      </c>
      <c r="E2" s="50" t="s">
        <v>67</v>
      </c>
      <c r="F2" s="50" t="s">
        <v>94</v>
      </c>
      <c r="G2" s="50" t="s">
        <v>69</v>
      </c>
      <c r="H2" s="50" t="s">
        <v>105</v>
      </c>
      <c r="I2" s="50" t="s">
        <v>71</v>
      </c>
      <c r="J2" s="50" t="s">
        <v>72</v>
      </c>
      <c r="K2" s="51" t="s">
        <v>73</v>
      </c>
      <c r="L2" s="48">
        <v>0.14000000000000001</v>
      </c>
    </row>
    <row r="3" spans="1:12" x14ac:dyDescent="0.25">
      <c r="A3" s="71" t="s">
        <v>74</v>
      </c>
      <c r="B3" s="71" t="s">
        <v>78</v>
      </c>
      <c r="C3" s="72" t="s">
        <v>78</v>
      </c>
      <c r="D3" s="54" t="s">
        <v>106</v>
      </c>
      <c r="E3" s="53">
        <f>L3</f>
        <v>17100000</v>
      </c>
      <c r="F3" s="52">
        <v>1</v>
      </c>
      <c r="G3" s="52">
        <v>1</v>
      </c>
      <c r="H3" s="52">
        <v>1</v>
      </c>
      <c r="I3" s="53">
        <f>E3*F3</f>
        <v>17100000</v>
      </c>
      <c r="J3" s="74">
        <v>0</v>
      </c>
      <c r="K3" s="53">
        <f>I3-I3*J3</f>
        <v>17100000</v>
      </c>
      <c r="L3" s="29">
        <f>15000000+(15000000*L2)</f>
        <v>17100000</v>
      </c>
    </row>
    <row r="4" spans="1:12" x14ac:dyDescent="0.25">
      <c r="A4" s="71" t="s">
        <v>74</v>
      </c>
      <c r="B4" s="71" t="s">
        <v>78</v>
      </c>
      <c r="C4" s="72" t="s">
        <v>78</v>
      </c>
      <c r="D4" s="54" t="s">
        <v>80</v>
      </c>
      <c r="E4" s="53">
        <v>9000000</v>
      </c>
      <c r="F4" s="52">
        <v>1</v>
      </c>
      <c r="G4" s="52">
        <v>1</v>
      </c>
      <c r="H4" s="52">
        <v>1</v>
      </c>
      <c r="I4" s="53">
        <f>E4*F4</f>
        <v>9000000</v>
      </c>
      <c r="J4" s="74">
        <v>0.4</v>
      </c>
      <c r="K4" s="53">
        <f>I4-I4*J4</f>
        <v>5400000</v>
      </c>
      <c r="L4" s="29">
        <f>7800000+(7800000*L2)</f>
        <v>8892000</v>
      </c>
    </row>
    <row r="5" spans="1:12" ht="15.75" thickBot="1" x14ac:dyDescent="0.3">
      <c r="A5" s="71" t="s">
        <v>74</v>
      </c>
      <c r="B5" s="71" t="s">
        <v>78</v>
      </c>
      <c r="C5" s="72" t="s">
        <v>78</v>
      </c>
      <c r="D5" s="54" t="s">
        <v>81</v>
      </c>
      <c r="E5" s="53">
        <v>15100000</v>
      </c>
      <c r="F5" s="52">
        <v>1</v>
      </c>
      <c r="G5" s="52">
        <v>1</v>
      </c>
      <c r="H5" s="52">
        <v>1</v>
      </c>
      <c r="I5" s="53">
        <f>E5*F5</f>
        <v>15100000</v>
      </c>
      <c r="J5" s="74">
        <v>0.40397350993377479</v>
      </c>
      <c r="K5" s="53">
        <f>I5-I5*J5</f>
        <v>9000000</v>
      </c>
      <c r="L5" s="29">
        <f>13200000+(13200000*L2)</f>
        <v>15048000</v>
      </c>
    </row>
    <row r="6" spans="1:12" ht="15.75" thickBot="1" x14ac:dyDescent="0.3">
      <c r="A6" s="75"/>
      <c r="B6" s="75"/>
      <c r="C6" s="75"/>
      <c r="D6" s="75"/>
      <c r="E6" s="75"/>
      <c r="F6" s="75"/>
      <c r="G6" s="75"/>
      <c r="H6" s="75"/>
      <c r="I6" s="76">
        <f>SUM(I3:I5)</f>
        <v>41200000</v>
      </c>
      <c r="J6" s="75"/>
      <c r="K6" s="76">
        <f>SUM(K3:K5)</f>
        <v>31500000</v>
      </c>
    </row>
    <row r="7" spans="1:12" ht="15.75" thickBot="1" x14ac:dyDescent="0.3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2" ht="20.25" thickBot="1" x14ac:dyDescent="0.35">
      <c r="A8" s="384" t="s">
        <v>276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</row>
    <row r="9" spans="1:12" ht="15.75" thickBot="1" x14ac:dyDescent="0.3">
      <c r="A9" s="49" t="s">
        <v>63</v>
      </c>
      <c r="B9" s="50" t="s">
        <v>64</v>
      </c>
      <c r="C9" s="50" t="s">
        <v>65</v>
      </c>
      <c r="D9" s="50" t="s">
        <v>66</v>
      </c>
      <c r="E9" s="50" t="s">
        <v>67</v>
      </c>
      <c r="F9" s="50" t="s">
        <v>94</v>
      </c>
      <c r="G9" s="50" t="s">
        <v>69</v>
      </c>
      <c r="H9" s="50" t="s">
        <v>105</v>
      </c>
      <c r="I9" s="50" t="s">
        <v>71</v>
      </c>
      <c r="J9" s="77" t="s">
        <v>72</v>
      </c>
      <c r="K9" s="51" t="s">
        <v>73</v>
      </c>
      <c r="L9" s="48">
        <v>0.14000000000000001</v>
      </c>
    </row>
    <row r="10" spans="1:12" x14ac:dyDescent="0.25">
      <c r="A10" s="71" t="s">
        <v>74</v>
      </c>
      <c r="B10" s="71" t="s">
        <v>78</v>
      </c>
      <c r="C10" s="72" t="s">
        <v>78</v>
      </c>
      <c r="D10" s="54" t="s">
        <v>106</v>
      </c>
      <c r="E10" s="53">
        <f>L10</f>
        <v>11400000</v>
      </c>
      <c r="F10" s="52">
        <v>1</v>
      </c>
      <c r="G10" s="52">
        <v>1</v>
      </c>
      <c r="H10" s="52">
        <v>1</v>
      </c>
      <c r="I10" s="53">
        <f>E10*F10</f>
        <v>11400000</v>
      </c>
      <c r="J10" s="74">
        <v>0</v>
      </c>
      <c r="K10" s="53">
        <f>I10-I10*J10</f>
        <v>11400000</v>
      </c>
      <c r="L10" s="29">
        <f>10000000+(10000000*L9)</f>
        <v>11400000</v>
      </c>
    </row>
    <row r="11" spans="1:12" x14ac:dyDescent="0.25">
      <c r="A11" s="71" t="s">
        <v>74</v>
      </c>
      <c r="B11" s="71" t="s">
        <v>78</v>
      </c>
      <c r="C11" s="72" t="s">
        <v>78</v>
      </c>
      <c r="D11" s="54" t="s">
        <v>80</v>
      </c>
      <c r="E11" s="53">
        <v>9000000</v>
      </c>
      <c r="F11" s="52">
        <v>1</v>
      </c>
      <c r="G11" s="52">
        <v>1</v>
      </c>
      <c r="H11" s="52">
        <v>1</v>
      </c>
      <c r="I11" s="53">
        <f>E11*F11</f>
        <v>9000000</v>
      </c>
      <c r="J11" s="74">
        <v>0.35</v>
      </c>
      <c r="K11" s="53">
        <f>I11-I11*J11</f>
        <v>5850000</v>
      </c>
      <c r="L11" s="29">
        <f>7800000+(7800000*L9)</f>
        <v>8892000</v>
      </c>
    </row>
    <row r="12" spans="1:12" ht="15.75" thickBot="1" x14ac:dyDescent="0.3">
      <c r="A12" s="71" t="s">
        <v>74</v>
      </c>
      <c r="B12" s="71" t="s">
        <v>78</v>
      </c>
      <c r="C12" s="72" t="s">
        <v>78</v>
      </c>
      <c r="D12" s="54" t="s">
        <v>81</v>
      </c>
      <c r="E12" s="53">
        <v>15100000</v>
      </c>
      <c r="F12" s="52">
        <v>1</v>
      </c>
      <c r="G12" s="52">
        <v>1</v>
      </c>
      <c r="H12" s="52">
        <v>1</v>
      </c>
      <c r="I12" s="53">
        <f>E12*F12</f>
        <v>15100000</v>
      </c>
      <c r="J12" s="74">
        <v>0.35430463576158949</v>
      </c>
      <c r="K12" s="53">
        <f>I12-I12*J12</f>
        <v>9750000</v>
      </c>
      <c r="L12" s="29">
        <f>13200000+(13200000*L9)</f>
        <v>15048000</v>
      </c>
    </row>
    <row r="13" spans="1:12" ht="15.75" thickBot="1" x14ac:dyDescent="0.3">
      <c r="A13" s="75"/>
      <c r="B13" s="75"/>
      <c r="C13" s="75"/>
      <c r="D13" s="75"/>
      <c r="E13" s="75"/>
      <c r="F13" s="75"/>
      <c r="G13" s="75"/>
      <c r="H13" s="75"/>
      <c r="I13" s="76">
        <f>SUM(I10:I12)</f>
        <v>35500000</v>
      </c>
      <c r="J13" s="75"/>
      <c r="K13" s="76">
        <f>SUM(K10:K12)</f>
        <v>27000000</v>
      </c>
    </row>
    <row r="14" spans="1:12" ht="15.75" thickBot="1" x14ac:dyDescent="0.3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</row>
    <row r="15" spans="1:12" ht="20.25" thickBot="1" x14ac:dyDescent="0.35">
      <c r="A15" s="384" t="s">
        <v>277</v>
      </c>
      <c r="B15" s="385"/>
      <c r="C15" s="385"/>
      <c r="D15" s="385"/>
      <c r="E15" s="385"/>
      <c r="F15" s="385"/>
      <c r="G15" s="385"/>
      <c r="H15" s="385"/>
      <c r="I15" s="385"/>
      <c r="J15" s="385"/>
      <c r="K15" s="385"/>
    </row>
    <row r="16" spans="1:12" ht="15.75" thickBot="1" x14ac:dyDescent="0.3">
      <c r="A16" s="49" t="s">
        <v>63</v>
      </c>
      <c r="B16" s="50" t="s">
        <v>64</v>
      </c>
      <c r="C16" s="50" t="s">
        <v>65</v>
      </c>
      <c r="D16" s="50" t="s">
        <v>66</v>
      </c>
      <c r="E16" s="50" t="s">
        <v>67</v>
      </c>
      <c r="F16" s="50" t="s">
        <v>94</v>
      </c>
      <c r="G16" s="50" t="s">
        <v>69</v>
      </c>
      <c r="H16" s="50" t="s">
        <v>105</v>
      </c>
      <c r="I16" s="50" t="s">
        <v>71</v>
      </c>
      <c r="J16" s="77" t="s">
        <v>72</v>
      </c>
      <c r="K16" s="51" t="s">
        <v>73</v>
      </c>
      <c r="L16" s="48">
        <v>0.14000000000000001</v>
      </c>
    </row>
    <row r="17" spans="1:12" x14ac:dyDescent="0.25">
      <c r="A17" s="71" t="s">
        <v>74</v>
      </c>
      <c r="B17" s="71" t="s">
        <v>78</v>
      </c>
      <c r="C17" s="72" t="s">
        <v>78</v>
      </c>
      <c r="D17" s="54" t="s">
        <v>106</v>
      </c>
      <c r="E17" s="53">
        <f>L17</f>
        <v>5700000</v>
      </c>
      <c r="F17" s="52">
        <v>1</v>
      </c>
      <c r="G17" s="52">
        <v>1</v>
      </c>
      <c r="H17" s="52">
        <v>1</v>
      </c>
      <c r="I17" s="53">
        <f>E17*F17</f>
        <v>5700000</v>
      </c>
      <c r="J17" s="74">
        <v>0</v>
      </c>
      <c r="K17" s="53">
        <f>I17-I17*J17</f>
        <v>5700000</v>
      </c>
      <c r="L17" s="29">
        <f>5000000+(5000000*L16)</f>
        <v>5700000</v>
      </c>
    </row>
    <row r="18" spans="1:12" x14ac:dyDescent="0.25">
      <c r="A18" s="71" t="s">
        <v>74</v>
      </c>
      <c r="B18" s="71" t="s">
        <v>78</v>
      </c>
      <c r="C18" s="72" t="s">
        <v>78</v>
      </c>
      <c r="D18" s="54" t="s">
        <v>80</v>
      </c>
      <c r="E18" s="53">
        <v>9000000</v>
      </c>
      <c r="F18" s="52">
        <v>1</v>
      </c>
      <c r="G18" s="52">
        <v>1</v>
      </c>
      <c r="H18" s="52">
        <v>1</v>
      </c>
      <c r="I18" s="53">
        <f>E18*F18</f>
        <v>9000000</v>
      </c>
      <c r="J18" s="74">
        <v>0.3</v>
      </c>
      <c r="K18" s="53">
        <f>I18-I18*J18</f>
        <v>6300000</v>
      </c>
      <c r="L18" s="29">
        <f>7800000+(7800000*L16)</f>
        <v>8892000</v>
      </c>
    </row>
    <row r="19" spans="1:12" ht="15.75" thickBot="1" x14ac:dyDescent="0.3">
      <c r="A19" s="71" t="s">
        <v>74</v>
      </c>
      <c r="B19" s="71" t="s">
        <v>78</v>
      </c>
      <c r="C19" s="72" t="s">
        <v>78</v>
      </c>
      <c r="D19" s="54" t="s">
        <v>81</v>
      </c>
      <c r="E19" s="53">
        <v>15100000</v>
      </c>
      <c r="F19" s="52">
        <v>1</v>
      </c>
      <c r="G19" s="52">
        <v>1</v>
      </c>
      <c r="H19" s="52">
        <v>1</v>
      </c>
      <c r="I19" s="53">
        <f>E19*F19</f>
        <v>15100000</v>
      </c>
      <c r="J19" s="74">
        <v>0.30463576158940409</v>
      </c>
      <c r="K19" s="53">
        <f>I19-I19*J19</f>
        <v>10499999.999999998</v>
      </c>
      <c r="L19" s="29">
        <f>13200000+(13200000*L16)</f>
        <v>15048000</v>
      </c>
    </row>
    <row r="20" spans="1:12" ht="15.75" thickBot="1" x14ac:dyDescent="0.3">
      <c r="A20" s="75"/>
      <c r="B20" s="75"/>
      <c r="C20" s="75"/>
      <c r="D20" s="75"/>
      <c r="E20" s="75"/>
      <c r="F20" s="75"/>
      <c r="G20" s="75"/>
      <c r="H20" s="75"/>
      <c r="I20" s="76">
        <f>SUM(I17:I19)</f>
        <v>29800000</v>
      </c>
      <c r="J20" s="75"/>
      <c r="K20" s="76">
        <f>SUM(K17:K19)</f>
        <v>22500000</v>
      </c>
    </row>
    <row r="21" spans="1:12" ht="15.75" thickBot="1" x14ac:dyDescent="0.3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</row>
    <row r="22" spans="1:12" ht="20.25" thickBot="1" x14ac:dyDescent="0.35">
      <c r="A22" s="384" t="s">
        <v>278</v>
      </c>
      <c r="B22" s="385"/>
      <c r="C22" s="385"/>
      <c r="D22" s="385"/>
      <c r="E22" s="385"/>
      <c r="F22" s="385"/>
      <c r="G22" s="385"/>
      <c r="H22" s="385"/>
      <c r="I22" s="385"/>
      <c r="J22" s="385"/>
      <c r="K22" s="385"/>
    </row>
    <row r="23" spans="1:12" ht="15.75" thickBot="1" x14ac:dyDescent="0.3">
      <c r="A23" s="49" t="s">
        <v>91</v>
      </c>
      <c r="B23" s="50" t="s">
        <v>64</v>
      </c>
      <c r="C23" s="50" t="s">
        <v>65</v>
      </c>
      <c r="D23" s="50" t="s">
        <v>66</v>
      </c>
      <c r="E23" s="50" t="s">
        <v>67</v>
      </c>
      <c r="F23" s="50" t="s">
        <v>94</v>
      </c>
      <c r="G23" s="50" t="s">
        <v>69</v>
      </c>
      <c r="H23" s="50" t="s">
        <v>105</v>
      </c>
      <c r="I23" s="50" t="s">
        <v>71</v>
      </c>
      <c r="J23" s="77" t="s">
        <v>72</v>
      </c>
      <c r="K23" s="51" t="s">
        <v>73</v>
      </c>
      <c r="L23" s="48">
        <v>0.14000000000000001</v>
      </c>
    </row>
    <row r="24" spans="1:12" x14ac:dyDescent="0.25">
      <c r="A24" s="71" t="s">
        <v>74</v>
      </c>
      <c r="B24" s="71" t="s">
        <v>78</v>
      </c>
      <c r="C24" s="72" t="s">
        <v>107</v>
      </c>
      <c r="D24" s="54" t="s">
        <v>106</v>
      </c>
      <c r="E24" s="53">
        <f>L24</f>
        <v>5700000</v>
      </c>
      <c r="F24" s="52">
        <v>1</v>
      </c>
      <c r="G24" s="52">
        <v>1</v>
      </c>
      <c r="H24" s="52">
        <v>1</v>
      </c>
      <c r="I24" s="53">
        <f>E24*F24</f>
        <v>5700000</v>
      </c>
      <c r="J24" s="74">
        <v>0</v>
      </c>
      <c r="K24" s="53">
        <f>I24-I24*J24</f>
        <v>5700000</v>
      </c>
      <c r="L24" s="29">
        <f>5000000+(5000000*L23)</f>
        <v>5700000</v>
      </c>
    </row>
    <row r="25" spans="1:12" x14ac:dyDescent="0.25">
      <c r="A25" s="71" t="s">
        <v>74</v>
      </c>
      <c r="B25" s="71" t="s">
        <v>78</v>
      </c>
      <c r="C25" s="72" t="s">
        <v>107</v>
      </c>
      <c r="D25" s="54" t="s">
        <v>80</v>
      </c>
      <c r="E25" s="53">
        <v>9000000</v>
      </c>
      <c r="F25" s="52">
        <v>1</v>
      </c>
      <c r="G25" s="52">
        <v>1</v>
      </c>
      <c r="H25" s="52">
        <v>1</v>
      </c>
      <c r="I25" s="53">
        <f>E25*F25</f>
        <v>9000000</v>
      </c>
      <c r="J25" s="74">
        <v>0.55000000000000004</v>
      </c>
      <c r="K25" s="53">
        <f>I25-I25*J25</f>
        <v>4050000</v>
      </c>
      <c r="L25" s="29">
        <f>7800000+(7800000*L23)</f>
        <v>8892000</v>
      </c>
    </row>
    <row r="26" spans="1:12" ht="15.75" thickBot="1" x14ac:dyDescent="0.3">
      <c r="A26" s="71" t="s">
        <v>74</v>
      </c>
      <c r="B26" s="71" t="s">
        <v>78</v>
      </c>
      <c r="C26" s="72" t="s">
        <v>107</v>
      </c>
      <c r="D26" s="54" t="s">
        <v>81</v>
      </c>
      <c r="E26" s="53">
        <v>15100000</v>
      </c>
      <c r="F26" s="52">
        <v>1</v>
      </c>
      <c r="G26" s="52">
        <v>1</v>
      </c>
      <c r="H26" s="52">
        <v>1</v>
      </c>
      <c r="I26" s="53">
        <f>E26*F26</f>
        <v>15100000</v>
      </c>
      <c r="J26" s="74">
        <v>0.55298013245033117</v>
      </c>
      <c r="K26" s="53">
        <f>I26-I26*J26</f>
        <v>6749999.9999999991</v>
      </c>
      <c r="L26" s="29">
        <f>13200000+(13200000*L23)</f>
        <v>15048000</v>
      </c>
    </row>
    <row r="27" spans="1:12" ht="15.75" thickBot="1" x14ac:dyDescent="0.3">
      <c r="A27" s="75"/>
      <c r="B27" s="75"/>
      <c r="C27" s="75"/>
      <c r="D27" s="75"/>
      <c r="E27" s="75"/>
      <c r="F27" s="75"/>
      <c r="G27" s="75"/>
      <c r="H27" s="75"/>
      <c r="I27" s="76">
        <f>SUM(I24:I26)</f>
        <v>29800000</v>
      </c>
      <c r="J27" s="75"/>
      <c r="K27" s="76">
        <f>SUM(K24:K26)</f>
        <v>16500000</v>
      </c>
    </row>
    <row r="29" spans="1:12" ht="15.75" thickBot="1" x14ac:dyDescent="0.3"/>
    <row r="30" spans="1:12" ht="21" thickBot="1" x14ac:dyDescent="0.35">
      <c r="A30" s="382" t="s">
        <v>279</v>
      </c>
      <c r="B30" s="383"/>
      <c r="C30" s="383"/>
      <c r="D30" s="383"/>
      <c r="E30" s="383"/>
      <c r="F30" s="383"/>
      <c r="G30" s="383"/>
      <c r="H30" s="383"/>
      <c r="I30" s="383"/>
      <c r="J30" s="383"/>
      <c r="K30" s="383"/>
    </row>
    <row r="31" spans="1:12" ht="15.75" thickBot="1" x14ac:dyDescent="0.3">
      <c r="A31" s="49" t="s">
        <v>63</v>
      </c>
      <c r="B31" s="50" t="s">
        <v>64</v>
      </c>
      <c r="C31" s="50" t="s">
        <v>65</v>
      </c>
      <c r="D31" s="50" t="s">
        <v>66</v>
      </c>
      <c r="E31" s="50" t="s">
        <v>67</v>
      </c>
      <c r="F31" s="50" t="s">
        <v>94</v>
      </c>
      <c r="G31" s="50" t="s">
        <v>69</v>
      </c>
      <c r="H31" s="50" t="s">
        <v>105</v>
      </c>
      <c r="I31" s="50" t="s">
        <v>71</v>
      </c>
      <c r="J31" s="77" t="s">
        <v>72</v>
      </c>
      <c r="K31" s="51" t="s">
        <v>73</v>
      </c>
      <c r="L31" s="48">
        <v>0.14000000000000001</v>
      </c>
    </row>
    <row r="32" spans="1:12" x14ac:dyDescent="0.25">
      <c r="A32" s="71" t="s">
        <v>12</v>
      </c>
      <c r="B32" s="71" t="s">
        <v>78</v>
      </c>
      <c r="C32" s="72" t="s">
        <v>78</v>
      </c>
      <c r="D32" s="54" t="s">
        <v>106</v>
      </c>
      <c r="E32" s="79">
        <f>L32</f>
        <v>5700000</v>
      </c>
      <c r="F32" s="52">
        <v>1</v>
      </c>
      <c r="G32" s="52">
        <v>1</v>
      </c>
      <c r="H32" s="52">
        <v>1</v>
      </c>
      <c r="I32" s="53">
        <f>E32*F32</f>
        <v>5700000</v>
      </c>
      <c r="J32" s="74">
        <v>0</v>
      </c>
      <c r="K32" s="53">
        <f>I32-I32*J32</f>
        <v>5700000</v>
      </c>
      <c r="L32" s="29">
        <f>5000000+(5000000*L31)</f>
        <v>5700000</v>
      </c>
    </row>
    <row r="33" spans="1:12" x14ac:dyDescent="0.25">
      <c r="A33" s="71" t="s">
        <v>12</v>
      </c>
      <c r="B33" s="71" t="s">
        <v>78</v>
      </c>
      <c r="C33" s="72" t="s">
        <v>78</v>
      </c>
      <c r="D33" s="54" t="s">
        <v>80</v>
      </c>
      <c r="E33" s="79">
        <f>L33</f>
        <v>2462400</v>
      </c>
      <c r="F33" s="52">
        <v>1</v>
      </c>
      <c r="G33" s="52">
        <v>1</v>
      </c>
      <c r="H33" s="52">
        <v>1</v>
      </c>
      <c r="I33" s="53">
        <f>E33*F33</f>
        <v>2462400</v>
      </c>
      <c r="J33" s="74">
        <v>0.4</v>
      </c>
      <c r="K33" s="53">
        <f>I33-I33*J33</f>
        <v>1477440</v>
      </c>
      <c r="L33" s="29">
        <f>2160000+(2160000*L31)</f>
        <v>2462400</v>
      </c>
    </row>
    <row r="34" spans="1:12" ht="15.75" thickBot="1" x14ac:dyDescent="0.3">
      <c r="A34" s="71" t="s">
        <v>12</v>
      </c>
      <c r="B34" s="71" t="s">
        <v>78</v>
      </c>
      <c r="C34" s="72" t="s">
        <v>78</v>
      </c>
      <c r="D34" s="54" t="s">
        <v>81</v>
      </c>
      <c r="E34" s="79">
        <f>L34</f>
        <v>6840000</v>
      </c>
      <c r="F34" s="52">
        <v>1</v>
      </c>
      <c r="G34" s="52">
        <v>1</v>
      </c>
      <c r="H34" s="52">
        <v>1</v>
      </c>
      <c r="I34" s="53">
        <f>E34*F34</f>
        <v>6840000</v>
      </c>
      <c r="J34" s="74">
        <v>0.39728654970760235</v>
      </c>
      <c r="K34" s="53">
        <f>I34-I34*J34</f>
        <v>4122560</v>
      </c>
      <c r="L34" s="29">
        <f>6000000+(6000000*L31)</f>
        <v>6840000</v>
      </c>
    </row>
    <row r="35" spans="1:12" ht="15.75" thickBot="1" x14ac:dyDescent="0.3">
      <c r="A35" s="78"/>
      <c r="B35" s="78"/>
      <c r="C35" s="78"/>
      <c r="D35" s="78"/>
      <c r="E35" s="78"/>
      <c r="F35" s="78"/>
      <c r="G35" s="78"/>
      <c r="H35" s="78"/>
      <c r="I35" s="76">
        <f>SUM(I32:I34)</f>
        <v>15002400</v>
      </c>
      <c r="J35" s="78"/>
      <c r="K35" s="76">
        <f>SUM(K32:K34)</f>
        <v>11300000</v>
      </c>
    </row>
    <row r="36" spans="1:12" ht="15.75" thickBot="1" x14ac:dyDescent="0.3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</row>
    <row r="37" spans="1:12" ht="21" thickBot="1" x14ac:dyDescent="0.35">
      <c r="A37" s="382" t="s">
        <v>280</v>
      </c>
      <c r="B37" s="383"/>
      <c r="C37" s="383"/>
      <c r="D37" s="383"/>
      <c r="E37" s="383"/>
      <c r="F37" s="383"/>
      <c r="G37" s="383"/>
      <c r="H37" s="383"/>
      <c r="I37" s="383"/>
      <c r="J37" s="383"/>
      <c r="K37" s="383"/>
    </row>
    <row r="38" spans="1:12" ht="15.75" thickBot="1" x14ac:dyDescent="0.3">
      <c r="A38" s="49" t="s">
        <v>63</v>
      </c>
      <c r="B38" s="50" t="s">
        <v>64</v>
      </c>
      <c r="C38" s="50" t="s">
        <v>65</v>
      </c>
      <c r="D38" s="50" t="s">
        <v>66</v>
      </c>
      <c r="E38" s="50" t="s">
        <v>67</v>
      </c>
      <c r="F38" s="50" t="s">
        <v>94</v>
      </c>
      <c r="G38" s="50" t="s">
        <v>69</v>
      </c>
      <c r="H38" s="50" t="s">
        <v>105</v>
      </c>
      <c r="I38" s="50" t="s">
        <v>71</v>
      </c>
      <c r="J38" s="77" t="s">
        <v>72</v>
      </c>
      <c r="K38" s="51" t="s">
        <v>73</v>
      </c>
      <c r="L38" s="48">
        <v>0.14000000000000001</v>
      </c>
    </row>
    <row r="39" spans="1:12" x14ac:dyDescent="0.25">
      <c r="A39" s="71" t="s">
        <v>12</v>
      </c>
      <c r="B39" s="71" t="s">
        <v>78</v>
      </c>
      <c r="C39" s="72" t="s">
        <v>78</v>
      </c>
      <c r="D39" s="54" t="s">
        <v>106</v>
      </c>
      <c r="E39" s="79">
        <f>L39</f>
        <v>5700000</v>
      </c>
      <c r="F39" s="52">
        <v>1</v>
      </c>
      <c r="G39" s="52">
        <v>1</v>
      </c>
      <c r="H39" s="52">
        <v>1</v>
      </c>
      <c r="I39" s="53">
        <f>E39*F39</f>
        <v>5700000</v>
      </c>
      <c r="J39" s="74">
        <v>0</v>
      </c>
      <c r="K39" s="53">
        <f>I39-I39*J39</f>
        <v>5700000</v>
      </c>
      <c r="L39" s="29">
        <f>5000000+(5000000*L38)</f>
        <v>5700000</v>
      </c>
    </row>
    <row r="40" spans="1:12" x14ac:dyDescent="0.25">
      <c r="A40" s="71" t="s">
        <v>12</v>
      </c>
      <c r="B40" s="71" t="s">
        <v>78</v>
      </c>
      <c r="C40" s="72" t="s">
        <v>78</v>
      </c>
      <c r="D40" s="54" t="s">
        <v>80</v>
      </c>
      <c r="E40" s="79">
        <f>L40</f>
        <v>2462400</v>
      </c>
      <c r="F40" s="52">
        <v>1</v>
      </c>
      <c r="G40" s="52">
        <v>1</v>
      </c>
      <c r="H40" s="52">
        <v>1</v>
      </c>
      <c r="I40" s="53">
        <f>E40*F40</f>
        <v>2462400</v>
      </c>
      <c r="J40" s="74">
        <v>0.2</v>
      </c>
      <c r="K40" s="53">
        <f>I40-I40*J40</f>
        <v>1969920</v>
      </c>
      <c r="L40" s="29">
        <f>2160000+(2160000*L38)</f>
        <v>2462400</v>
      </c>
    </row>
    <row r="41" spans="1:12" ht="15.75" thickBot="1" x14ac:dyDescent="0.3">
      <c r="A41" s="71" t="s">
        <v>12</v>
      </c>
      <c r="B41" s="71" t="s">
        <v>78</v>
      </c>
      <c r="C41" s="72" t="s">
        <v>78</v>
      </c>
      <c r="D41" s="54" t="s">
        <v>81</v>
      </c>
      <c r="E41" s="79">
        <f>L41</f>
        <v>6840000</v>
      </c>
      <c r="F41" s="52">
        <v>1</v>
      </c>
      <c r="G41" s="52">
        <v>1</v>
      </c>
      <c r="H41" s="52">
        <v>1</v>
      </c>
      <c r="I41" s="53">
        <f>E41*F41</f>
        <v>6840000</v>
      </c>
      <c r="J41" s="74">
        <v>0.19150877192982457</v>
      </c>
      <c r="K41" s="53">
        <f>I41-I41*J41</f>
        <v>5530080</v>
      </c>
      <c r="L41" s="29">
        <f>6000000+(6000000*L38)</f>
        <v>6840000</v>
      </c>
    </row>
    <row r="42" spans="1:12" ht="15.75" thickBot="1" x14ac:dyDescent="0.3">
      <c r="A42" s="78"/>
      <c r="B42" s="78"/>
      <c r="C42" s="78"/>
      <c r="D42" s="78"/>
      <c r="E42" s="78"/>
      <c r="F42" s="78"/>
      <c r="G42" s="78"/>
      <c r="H42" s="78"/>
      <c r="I42" s="76">
        <f>SUM(I39:I41)</f>
        <v>15002400</v>
      </c>
      <c r="J42" s="78"/>
      <c r="K42" s="76">
        <f>SUM(K39:K41)</f>
        <v>13200000</v>
      </c>
    </row>
    <row r="43" spans="1:12" ht="15.75" thickBot="1" x14ac:dyDescent="0.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</row>
    <row r="44" spans="1:12" ht="21" thickBot="1" x14ac:dyDescent="0.35">
      <c r="A44" s="382" t="s">
        <v>281</v>
      </c>
      <c r="B44" s="383"/>
      <c r="C44" s="383"/>
      <c r="D44" s="383"/>
      <c r="E44" s="383"/>
      <c r="F44" s="383"/>
      <c r="G44" s="383"/>
      <c r="H44" s="383"/>
      <c r="I44" s="383"/>
      <c r="J44" s="383"/>
      <c r="K44" s="383"/>
    </row>
    <row r="45" spans="1:12" ht="15.75" thickBot="1" x14ac:dyDescent="0.3">
      <c r="A45" s="49" t="s">
        <v>63</v>
      </c>
      <c r="B45" s="50" t="s">
        <v>64</v>
      </c>
      <c r="C45" s="50" t="s">
        <v>65</v>
      </c>
      <c r="D45" s="50" t="s">
        <v>66</v>
      </c>
      <c r="E45" s="50" t="s">
        <v>67</v>
      </c>
      <c r="F45" s="50" t="s">
        <v>94</v>
      </c>
      <c r="G45" s="50" t="s">
        <v>69</v>
      </c>
      <c r="H45" s="50" t="s">
        <v>105</v>
      </c>
      <c r="I45" s="50" t="s">
        <v>71</v>
      </c>
      <c r="J45" s="77" t="s">
        <v>72</v>
      </c>
      <c r="K45" s="51" t="s">
        <v>73</v>
      </c>
      <c r="L45" s="48">
        <v>0.14000000000000001</v>
      </c>
    </row>
    <row r="46" spans="1:12" x14ac:dyDescent="0.25">
      <c r="A46" s="71" t="s">
        <v>12</v>
      </c>
      <c r="B46" s="71" t="s">
        <v>78</v>
      </c>
      <c r="C46" s="72" t="s">
        <v>78</v>
      </c>
      <c r="D46" s="54" t="s">
        <v>106</v>
      </c>
      <c r="E46" s="79">
        <f>L46</f>
        <v>5700000</v>
      </c>
      <c r="F46" s="52">
        <v>1</v>
      </c>
      <c r="G46" s="52">
        <v>1</v>
      </c>
      <c r="H46" s="52">
        <v>1</v>
      </c>
      <c r="I46" s="53">
        <f>E46*F46</f>
        <v>5700000</v>
      </c>
      <c r="J46" s="74">
        <v>0</v>
      </c>
      <c r="K46" s="53">
        <f>I46-I46*J46</f>
        <v>5700000</v>
      </c>
      <c r="L46" s="29">
        <f>5000000+(5000000*L45)</f>
        <v>5700000</v>
      </c>
    </row>
    <row r="47" spans="1:12" x14ac:dyDescent="0.25">
      <c r="A47" s="71" t="s">
        <v>12</v>
      </c>
      <c r="B47" s="71" t="s">
        <v>78</v>
      </c>
      <c r="C47" s="72" t="s">
        <v>78</v>
      </c>
      <c r="D47" s="54" t="s">
        <v>80</v>
      </c>
      <c r="E47" s="79">
        <f>L47</f>
        <v>2462400</v>
      </c>
      <c r="F47" s="52">
        <v>1</v>
      </c>
      <c r="G47" s="52">
        <v>1</v>
      </c>
      <c r="H47" s="52">
        <v>1</v>
      </c>
      <c r="I47" s="53">
        <f>E47*F47</f>
        <v>2462400</v>
      </c>
      <c r="J47" s="74">
        <v>0</v>
      </c>
      <c r="K47" s="53">
        <f>I47-I47*J47</f>
        <v>2462400</v>
      </c>
      <c r="L47" s="29">
        <f>2160000+(2160000*L45)</f>
        <v>2462400</v>
      </c>
    </row>
    <row r="48" spans="1:12" ht="15.75" thickBot="1" x14ac:dyDescent="0.3">
      <c r="A48" s="71" t="s">
        <v>12</v>
      </c>
      <c r="B48" s="71" t="s">
        <v>78</v>
      </c>
      <c r="C48" s="72" t="s">
        <v>78</v>
      </c>
      <c r="D48" s="54" t="s">
        <v>81</v>
      </c>
      <c r="E48" s="79">
        <f>L48</f>
        <v>6840000</v>
      </c>
      <c r="F48" s="52">
        <v>1</v>
      </c>
      <c r="G48" s="52">
        <v>1</v>
      </c>
      <c r="H48" s="52">
        <v>1</v>
      </c>
      <c r="I48" s="53">
        <f>E48*F48</f>
        <v>6840000</v>
      </c>
      <c r="J48" s="74">
        <v>3.5087719298245584E-4</v>
      </c>
      <c r="K48" s="53">
        <f>I48-I48*J48</f>
        <v>6837600</v>
      </c>
      <c r="L48" s="29">
        <f>6000000+(6000000*L45)</f>
        <v>6840000</v>
      </c>
    </row>
    <row r="49" spans="1:12" ht="15.75" thickBot="1" x14ac:dyDescent="0.3">
      <c r="A49" s="78"/>
      <c r="B49" s="78"/>
      <c r="C49" s="78"/>
      <c r="D49" s="78"/>
      <c r="E49" s="78"/>
      <c r="F49" s="78"/>
      <c r="G49" s="78"/>
      <c r="H49" s="78"/>
      <c r="I49" s="76">
        <f>SUM(I46:I48)</f>
        <v>15002400</v>
      </c>
      <c r="J49" s="78"/>
      <c r="K49" s="76">
        <f>SUM(K46:K48)</f>
        <v>15000000</v>
      </c>
    </row>
    <row r="50" spans="1:12" ht="15.75" thickBot="1" x14ac:dyDescent="0.3"/>
    <row r="51" spans="1:12" ht="21" thickBot="1" x14ac:dyDescent="0.35">
      <c r="A51" s="382" t="s">
        <v>356</v>
      </c>
      <c r="B51" s="383"/>
      <c r="C51" s="383"/>
      <c r="D51" s="383"/>
      <c r="E51" s="383"/>
      <c r="F51" s="383"/>
      <c r="G51" s="383"/>
      <c r="H51" s="383"/>
      <c r="I51" s="383"/>
      <c r="J51" s="383"/>
      <c r="K51" s="383"/>
    </row>
    <row r="52" spans="1:12" ht="15.75" thickBot="1" x14ac:dyDescent="0.3">
      <c r="A52" s="49" t="s">
        <v>63</v>
      </c>
      <c r="B52" s="50" t="s">
        <v>64</v>
      </c>
      <c r="C52" s="50" t="s">
        <v>65</v>
      </c>
      <c r="D52" s="50" t="s">
        <v>66</v>
      </c>
      <c r="E52" s="50" t="s">
        <v>67</v>
      </c>
      <c r="F52" s="50" t="s">
        <v>94</v>
      </c>
      <c r="G52" s="50" t="s">
        <v>69</v>
      </c>
      <c r="H52" s="50" t="s">
        <v>70</v>
      </c>
      <c r="I52" s="50" t="s">
        <v>71</v>
      </c>
      <c r="J52" s="50" t="s">
        <v>72</v>
      </c>
      <c r="K52" s="51" t="s">
        <v>73</v>
      </c>
      <c r="L52" s="48">
        <v>0.14000000000000001</v>
      </c>
    </row>
    <row r="53" spans="1:12" x14ac:dyDescent="0.25">
      <c r="A53" s="71" t="s">
        <v>358</v>
      </c>
      <c r="B53" s="71" t="s">
        <v>78</v>
      </c>
      <c r="C53" s="72" t="s">
        <v>78</v>
      </c>
      <c r="D53" s="54" t="s">
        <v>106</v>
      </c>
      <c r="E53" s="79">
        <v>1500000</v>
      </c>
      <c r="F53" s="52">
        <v>1</v>
      </c>
      <c r="G53" s="52">
        <v>1</v>
      </c>
      <c r="H53" s="52">
        <v>1</v>
      </c>
      <c r="I53" s="53">
        <f>E53*F53</f>
        <v>1500000</v>
      </c>
      <c r="J53" s="74">
        <v>0.17333333333333334</v>
      </c>
      <c r="K53" s="53">
        <f>I53-I53*J53</f>
        <v>1240000</v>
      </c>
      <c r="L53" s="29">
        <f>5000000+(5000000*L52)</f>
        <v>5700000</v>
      </c>
    </row>
    <row r="54" spans="1:12" x14ac:dyDescent="0.25">
      <c r="A54" s="71" t="s">
        <v>358</v>
      </c>
      <c r="B54" s="71" t="s">
        <v>78</v>
      </c>
      <c r="C54" s="72" t="s">
        <v>78</v>
      </c>
      <c r="D54" s="54" t="s">
        <v>339</v>
      </c>
      <c r="E54" s="79">
        <v>900000</v>
      </c>
      <c r="F54" s="52">
        <v>1</v>
      </c>
      <c r="G54" s="52">
        <v>1</v>
      </c>
      <c r="H54" s="52">
        <v>1</v>
      </c>
      <c r="I54" s="53">
        <f>E54*F54</f>
        <v>900000</v>
      </c>
      <c r="J54" s="74">
        <v>0.3</v>
      </c>
      <c r="K54" s="53">
        <f>I54-I54*J54</f>
        <v>630000</v>
      </c>
      <c r="L54" s="29">
        <f>2160000+(2160000*L52)</f>
        <v>2462400</v>
      </c>
    </row>
    <row r="55" spans="1:12" ht="15.75" thickBot="1" x14ac:dyDescent="0.3">
      <c r="A55" s="71" t="s">
        <v>358</v>
      </c>
      <c r="B55" s="71" t="s">
        <v>78</v>
      </c>
      <c r="C55" s="72" t="s">
        <v>78</v>
      </c>
      <c r="D55" s="54" t="s">
        <v>340</v>
      </c>
      <c r="E55" s="79">
        <v>900000</v>
      </c>
      <c r="F55" s="52">
        <v>1</v>
      </c>
      <c r="G55" s="52">
        <v>1</v>
      </c>
      <c r="H55" s="52">
        <v>1</v>
      </c>
      <c r="I55" s="53">
        <f>E55*F55</f>
        <v>900000</v>
      </c>
      <c r="J55" s="74">
        <v>0.3</v>
      </c>
      <c r="K55" s="53">
        <f>I55-I55*J55</f>
        <v>630000</v>
      </c>
      <c r="L55" s="29">
        <f>6500000+(6500000*L52)</f>
        <v>7410000</v>
      </c>
    </row>
    <row r="56" spans="1:12" ht="16.5" thickBot="1" x14ac:dyDescent="0.3">
      <c r="A56" s="80"/>
      <c r="B56" s="80"/>
      <c r="C56" s="80"/>
      <c r="D56" s="80"/>
      <c r="E56" s="78"/>
      <c r="F56" s="78"/>
      <c r="G56" s="78"/>
      <c r="H56" s="78"/>
      <c r="I56" s="76">
        <f>SUM(I53:I55)</f>
        <v>3300000</v>
      </c>
      <c r="J56" s="78"/>
      <c r="K56" s="76">
        <f>SUM(K53:K55)</f>
        <v>2500000</v>
      </c>
    </row>
    <row r="57" spans="1:12" ht="16.5" thickBot="1" x14ac:dyDescent="0.3">
      <c r="A57" s="80"/>
      <c r="B57" s="80"/>
      <c r="C57" s="80"/>
      <c r="D57" s="80"/>
      <c r="E57" s="78"/>
      <c r="F57" s="78"/>
      <c r="G57" s="78"/>
      <c r="H57" s="78"/>
      <c r="I57" s="78"/>
      <c r="J57" s="78"/>
      <c r="K57" s="78"/>
    </row>
    <row r="58" spans="1:12" ht="21" thickBot="1" x14ac:dyDescent="0.35">
      <c r="A58" s="382" t="s">
        <v>357</v>
      </c>
      <c r="B58" s="383"/>
      <c r="C58" s="383"/>
      <c r="D58" s="383"/>
      <c r="E58" s="383"/>
      <c r="F58" s="383"/>
      <c r="G58" s="383"/>
      <c r="H58" s="383"/>
      <c r="I58" s="383"/>
      <c r="J58" s="383"/>
      <c r="K58" s="383"/>
    </row>
    <row r="59" spans="1:12" ht="15.75" thickBot="1" x14ac:dyDescent="0.3">
      <c r="A59" s="49" t="s">
        <v>63</v>
      </c>
      <c r="B59" s="50" t="s">
        <v>64</v>
      </c>
      <c r="C59" s="50" t="s">
        <v>65</v>
      </c>
      <c r="D59" s="50" t="s">
        <v>66</v>
      </c>
      <c r="E59" s="50" t="s">
        <v>67</v>
      </c>
      <c r="F59" s="50" t="s">
        <v>94</v>
      </c>
      <c r="G59" s="50" t="s">
        <v>69</v>
      </c>
      <c r="H59" s="50" t="s">
        <v>70</v>
      </c>
      <c r="I59" s="50" t="s">
        <v>71</v>
      </c>
      <c r="J59" s="50" t="s">
        <v>72</v>
      </c>
      <c r="K59" s="51" t="s">
        <v>73</v>
      </c>
      <c r="L59" s="48">
        <v>0.14000000000000001</v>
      </c>
    </row>
    <row r="60" spans="1:12" x14ac:dyDescent="0.25">
      <c r="A60" s="71" t="s">
        <v>358</v>
      </c>
      <c r="B60" s="71" t="s">
        <v>78</v>
      </c>
      <c r="C60" s="72" t="s">
        <v>78</v>
      </c>
      <c r="D60" s="54" t="s">
        <v>106</v>
      </c>
      <c r="E60" s="79">
        <v>1000000</v>
      </c>
      <c r="F60" s="52">
        <v>1</v>
      </c>
      <c r="G60" s="52">
        <v>1</v>
      </c>
      <c r="H60" s="52">
        <v>1</v>
      </c>
      <c r="I60" s="53">
        <f>E60*F60</f>
        <v>1000000</v>
      </c>
      <c r="J60" s="74">
        <v>0.47</v>
      </c>
      <c r="K60" s="53">
        <f>I60-I60*J60</f>
        <v>530000</v>
      </c>
      <c r="L60" s="29">
        <f>5000000+(5000000*L59)</f>
        <v>5700000</v>
      </c>
    </row>
    <row r="61" spans="1:12" ht="15.75" thickBot="1" x14ac:dyDescent="0.3">
      <c r="A61" s="71" t="s">
        <v>358</v>
      </c>
      <c r="B61" s="71" t="s">
        <v>78</v>
      </c>
      <c r="C61" s="72" t="s">
        <v>78</v>
      </c>
      <c r="D61" s="54" t="s">
        <v>339</v>
      </c>
      <c r="E61" s="79">
        <v>900000</v>
      </c>
      <c r="F61" s="52">
        <v>1</v>
      </c>
      <c r="G61" s="52">
        <v>1</v>
      </c>
      <c r="H61" s="52">
        <v>1</v>
      </c>
      <c r="I61" s="53">
        <f>E61*F61</f>
        <v>900000</v>
      </c>
      <c r="J61" s="74">
        <v>0.47777777777777775</v>
      </c>
      <c r="K61" s="53">
        <f>I61-I61*J61</f>
        <v>470000</v>
      </c>
      <c r="L61" s="29">
        <f>2160000+(2160000*L59)</f>
        <v>2462400</v>
      </c>
    </row>
    <row r="62" spans="1:12" ht="16.5" thickBot="1" x14ac:dyDescent="0.3">
      <c r="A62" s="80"/>
      <c r="B62" s="80"/>
      <c r="C62" s="80"/>
      <c r="D62" s="80"/>
      <c r="E62" s="78"/>
      <c r="F62" s="78"/>
      <c r="G62" s="78"/>
      <c r="H62" s="78"/>
      <c r="I62" s="76">
        <f>SUM(I60:I61)</f>
        <v>1900000</v>
      </c>
      <c r="J62" s="78"/>
      <c r="K62" s="76">
        <f>SUM(K60:K61)</f>
        <v>1000000</v>
      </c>
    </row>
    <row r="63" spans="1:12" ht="15.75" thickBot="1" x14ac:dyDescent="0.3"/>
    <row r="64" spans="1:12" ht="21" thickBot="1" x14ac:dyDescent="0.35">
      <c r="A64" s="382" t="s">
        <v>282</v>
      </c>
      <c r="B64" s="383"/>
      <c r="C64" s="383"/>
      <c r="D64" s="383"/>
      <c r="E64" s="383"/>
      <c r="F64" s="383"/>
      <c r="G64" s="383"/>
      <c r="H64" s="383"/>
      <c r="I64" s="383"/>
      <c r="J64" s="383"/>
      <c r="K64" s="383"/>
    </row>
    <row r="65" spans="1:12" ht="15.75" thickBot="1" x14ac:dyDescent="0.3">
      <c r="A65" s="49" t="s">
        <v>63</v>
      </c>
      <c r="B65" s="50" t="s">
        <v>64</v>
      </c>
      <c r="C65" s="50" t="s">
        <v>65</v>
      </c>
      <c r="D65" s="50" t="s">
        <v>66</v>
      </c>
      <c r="E65" s="50" t="s">
        <v>67</v>
      </c>
      <c r="F65" s="50" t="s">
        <v>94</v>
      </c>
      <c r="G65" s="50" t="s">
        <v>69</v>
      </c>
      <c r="H65" s="50" t="s">
        <v>70</v>
      </c>
      <c r="I65" s="50" t="s">
        <v>71</v>
      </c>
      <c r="J65" s="50" t="s">
        <v>72</v>
      </c>
      <c r="K65" s="51" t="s">
        <v>73</v>
      </c>
      <c r="L65" s="48">
        <v>0.14000000000000001</v>
      </c>
    </row>
    <row r="66" spans="1:12" x14ac:dyDescent="0.25">
      <c r="A66" s="71" t="s">
        <v>10</v>
      </c>
      <c r="B66" s="71" t="s">
        <v>78</v>
      </c>
      <c r="C66" s="72" t="s">
        <v>78</v>
      </c>
      <c r="D66" s="54" t="s">
        <v>106</v>
      </c>
      <c r="E66" s="79">
        <f>L66</f>
        <v>5700000</v>
      </c>
      <c r="F66" s="52">
        <v>1</v>
      </c>
      <c r="G66" s="52">
        <v>1</v>
      </c>
      <c r="H66" s="52">
        <v>1</v>
      </c>
      <c r="I66" s="53">
        <f>E66*F66</f>
        <v>5700000</v>
      </c>
      <c r="J66" s="74">
        <v>0</v>
      </c>
      <c r="K66" s="53">
        <f>I66-I66*J66</f>
        <v>5700000</v>
      </c>
      <c r="L66" s="29">
        <f>5000000+(5000000*L65)</f>
        <v>5700000</v>
      </c>
    </row>
    <row r="67" spans="1:12" x14ac:dyDescent="0.25">
      <c r="A67" s="71" t="s">
        <v>10</v>
      </c>
      <c r="B67" s="71" t="s">
        <v>78</v>
      </c>
      <c r="C67" s="72" t="s">
        <v>78</v>
      </c>
      <c r="D67" s="54" t="s">
        <v>80</v>
      </c>
      <c r="E67" s="79">
        <v>2500000</v>
      </c>
      <c r="F67" s="52">
        <v>1</v>
      </c>
      <c r="G67" s="52">
        <v>1</v>
      </c>
      <c r="H67" s="52">
        <v>1</v>
      </c>
      <c r="I67" s="53">
        <f>E67*F67</f>
        <v>2500000</v>
      </c>
      <c r="J67" s="74">
        <v>0.4</v>
      </c>
      <c r="K67" s="53">
        <f>I67-I67*J67</f>
        <v>1500000</v>
      </c>
      <c r="L67" s="29">
        <f>2160000+(2160000*L65)</f>
        <v>2462400</v>
      </c>
    </row>
    <row r="68" spans="1:12" ht="15.75" thickBot="1" x14ac:dyDescent="0.3">
      <c r="A68" s="71" t="s">
        <v>10</v>
      </c>
      <c r="B68" s="71" t="s">
        <v>78</v>
      </c>
      <c r="C68" s="72" t="s">
        <v>78</v>
      </c>
      <c r="D68" s="54" t="s">
        <v>81</v>
      </c>
      <c r="E68" s="79">
        <v>7400000</v>
      </c>
      <c r="F68" s="52">
        <v>1</v>
      </c>
      <c r="G68" s="52">
        <v>1</v>
      </c>
      <c r="H68" s="52">
        <v>1</v>
      </c>
      <c r="I68" s="53">
        <f>E68*F68</f>
        <v>7400000</v>
      </c>
      <c r="J68" s="74">
        <v>0.39189189189189189</v>
      </c>
      <c r="K68" s="53">
        <f>I68-I68*J68</f>
        <v>4500000</v>
      </c>
      <c r="L68" s="29">
        <f>6500000+(6500000*L65)</f>
        <v>7410000</v>
      </c>
    </row>
    <row r="69" spans="1:12" ht="16.5" thickBot="1" x14ac:dyDescent="0.3">
      <c r="A69" s="80"/>
      <c r="B69" s="80"/>
      <c r="C69" s="80"/>
      <c r="D69" s="80"/>
      <c r="E69" s="78"/>
      <c r="F69" s="78"/>
      <c r="G69" s="78"/>
      <c r="H69" s="78"/>
      <c r="I69" s="76">
        <f>SUM(I66:I68)</f>
        <v>15600000</v>
      </c>
      <c r="J69" s="78"/>
      <c r="K69" s="76">
        <f>SUM(K66:K68)</f>
        <v>11700000</v>
      </c>
    </row>
    <row r="70" spans="1:12" ht="15.75" thickBot="1" x14ac:dyDescent="0.3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</row>
    <row r="71" spans="1:12" ht="21" thickBot="1" x14ac:dyDescent="0.35">
      <c r="A71" s="382" t="s">
        <v>283</v>
      </c>
      <c r="B71" s="383"/>
      <c r="C71" s="383"/>
      <c r="D71" s="383"/>
      <c r="E71" s="383"/>
      <c r="F71" s="383"/>
      <c r="G71" s="383"/>
      <c r="H71" s="383"/>
      <c r="I71" s="383"/>
      <c r="J71" s="383"/>
      <c r="K71" s="383"/>
    </row>
    <row r="72" spans="1:12" ht="15.75" thickBot="1" x14ac:dyDescent="0.3">
      <c r="A72" s="49" t="s">
        <v>63</v>
      </c>
      <c r="B72" s="50" t="s">
        <v>64</v>
      </c>
      <c r="C72" s="50" t="s">
        <v>65</v>
      </c>
      <c r="D72" s="50" t="s">
        <v>66</v>
      </c>
      <c r="E72" s="50" t="s">
        <v>67</v>
      </c>
      <c r="F72" s="50" t="s">
        <v>94</v>
      </c>
      <c r="G72" s="50" t="s">
        <v>69</v>
      </c>
      <c r="H72" s="50" t="s">
        <v>70</v>
      </c>
      <c r="I72" s="50" t="s">
        <v>71</v>
      </c>
      <c r="J72" s="50" t="s">
        <v>72</v>
      </c>
      <c r="K72" s="51" t="s">
        <v>73</v>
      </c>
      <c r="L72" s="48">
        <v>0.14000000000000001</v>
      </c>
    </row>
    <row r="73" spans="1:12" x14ac:dyDescent="0.25">
      <c r="A73" s="71" t="s">
        <v>10</v>
      </c>
      <c r="B73" s="71" t="s">
        <v>78</v>
      </c>
      <c r="C73" s="72" t="s">
        <v>78</v>
      </c>
      <c r="D73" s="54" t="s">
        <v>106</v>
      </c>
      <c r="E73" s="79">
        <f>L73</f>
        <v>5700000</v>
      </c>
      <c r="F73" s="52">
        <v>1</v>
      </c>
      <c r="G73" s="52">
        <v>1</v>
      </c>
      <c r="H73" s="52">
        <v>1</v>
      </c>
      <c r="I73" s="53">
        <f>E73*F73</f>
        <v>5700000</v>
      </c>
      <c r="J73" s="74">
        <v>0</v>
      </c>
      <c r="K73" s="53">
        <f>I73-I73*J73</f>
        <v>5700000</v>
      </c>
      <c r="L73" s="29">
        <f>5000000+(5000000*L72)</f>
        <v>5700000</v>
      </c>
    </row>
    <row r="74" spans="1:12" x14ac:dyDescent="0.25">
      <c r="A74" s="71" t="s">
        <v>10</v>
      </c>
      <c r="B74" s="71" t="s">
        <v>78</v>
      </c>
      <c r="C74" s="72" t="s">
        <v>78</v>
      </c>
      <c r="D74" s="54" t="s">
        <v>80</v>
      </c>
      <c r="E74" s="79">
        <v>2500000</v>
      </c>
      <c r="F74" s="52">
        <v>1</v>
      </c>
      <c r="G74" s="52">
        <v>1</v>
      </c>
      <c r="H74" s="52">
        <v>1</v>
      </c>
      <c r="I74" s="53">
        <f>E74*F74</f>
        <v>2500000</v>
      </c>
      <c r="J74" s="74">
        <v>0.2</v>
      </c>
      <c r="K74" s="53">
        <f>I74-I74*J74</f>
        <v>2000000</v>
      </c>
      <c r="L74" s="29">
        <f>2160000+(2160000*L72)</f>
        <v>2462400</v>
      </c>
    </row>
    <row r="75" spans="1:12" ht="15.75" thickBot="1" x14ac:dyDescent="0.3">
      <c r="A75" s="71" t="s">
        <v>10</v>
      </c>
      <c r="B75" s="71" t="s">
        <v>78</v>
      </c>
      <c r="C75" s="72" t="s">
        <v>78</v>
      </c>
      <c r="D75" s="54" t="s">
        <v>81</v>
      </c>
      <c r="E75" s="79">
        <v>7400000</v>
      </c>
      <c r="F75" s="52">
        <v>1</v>
      </c>
      <c r="G75" s="52">
        <v>1</v>
      </c>
      <c r="H75" s="52">
        <v>1</v>
      </c>
      <c r="I75" s="53">
        <f>E75*F75</f>
        <v>7400000</v>
      </c>
      <c r="J75" s="74">
        <v>0.20270270270270271</v>
      </c>
      <c r="K75" s="53">
        <f>I75-I75*J75</f>
        <v>5900000</v>
      </c>
      <c r="L75" s="29">
        <f>6500000+(6500000*L72)</f>
        <v>7410000</v>
      </c>
    </row>
    <row r="76" spans="1:12" ht="16.5" thickBot="1" x14ac:dyDescent="0.3">
      <c r="A76" s="80"/>
      <c r="B76" s="80"/>
      <c r="C76" s="80"/>
      <c r="D76" s="80"/>
      <c r="E76" s="78"/>
      <c r="F76" s="78"/>
      <c r="G76" s="78"/>
      <c r="H76" s="78"/>
      <c r="I76" s="76">
        <f>SUM(I73:I75)</f>
        <v>15600000</v>
      </c>
      <c r="J76" s="78"/>
      <c r="K76" s="76">
        <f>SUM(K73:K75)</f>
        <v>13600000</v>
      </c>
    </row>
    <row r="77" spans="1:12" ht="15.75" thickBot="1" x14ac:dyDescent="0.3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</row>
    <row r="78" spans="1:12" ht="21" thickBot="1" x14ac:dyDescent="0.35">
      <c r="A78" s="382" t="s">
        <v>284</v>
      </c>
      <c r="B78" s="383"/>
      <c r="C78" s="383"/>
      <c r="D78" s="383"/>
      <c r="E78" s="383"/>
      <c r="F78" s="383"/>
      <c r="G78" s="383"/>
      <c r="H78" s="383"/>
      <c r="I78" s="383"/>
      <c r="J78" s="383"/>
      <c r="K78" s="383"/>
    </row>
    <row r="79" spans="1:12" ht="15.75" thickBot="1" x14ac:dyDescent="0.3">
      <c r="A79" s="49" t="s">
        <v>63</v>
      </c>
      <c r="B79" s="50" t="s">
        <v>64</v>
      </c>
      <c r="C79" s="50" t="s">
        <v>65</v>
      </c>
      <c r="D79" s="50" t="s">
        <v>66</v>
      </c>
      <c r="E79" s="50" t="s">
        <v>67</v>
      </c>
      <c r="F79" s="50" t="s">
        <v>94</v>
      </c>
      <c r="G79" s="50" t="s">
        <v>69</v>
      </c>
      <c r="H79" s="50" t="s">
        <v>70</v>
      </c>
      <c r="I79" s="50" t="s">
        <v>71</v>
      </c>
      <c r="J79" s="50" t="s">
        <v>72</v>
      </c>
      <c r="K79" s="51" t="s">
        <v>73</v>
      </c>
      <c r="L79" s="48">
        <v>0.14000000000000001</v>
      </c>
    </row>
    <row r="80" spans="1:12" x14ac:dyDescent="0.25">
      <c r="A80" s="71" t="s">
        <v>10</v>
      </c>
      <c r="B80" s="71" t="s">
        <v>78</v>
      </c>
      <c r="C80" s="72" t="s">
        <v>78</v>
      </c>
      <c r="D80" s="54" t="s">
        <v>106</v>
      </c>
      <c r="E80" s="79">
        <f>L80</f>
        <v>5700000</v>
      </c>
      <c r="F80" s="52">
        <v>1</v>
      </c>
      <c r="G80" s="52">
        <v>1</v>
      </c>
      <c r="H80" s="52">
        <v>1</v>
      </c>
      <c r="I80" s="53">
        <f>E80*F80</f>
        <v>5700000</v>
      </c>
      <c r="J80" s="74">
        <v>0</v>
      </c>
      <c r="K80" s="53">
        <f>I80-I80*J80</f>
        <v>5700000</v>
      </c>
      <c r="L80" s="29">
        <f>5000000+(5000000*L79)</f>
        <v>5700000</v>
      </c>
    </row>
    <row r="81" spans="1:12" x14ac:dyDescent="0.25">
      <c r="A81" s="71" t="s">
        <v>10</v>
      </c>
      <c r="B81" s="71" t="s">
        <v>78</v>
      </c>
      <c r="C81" s="72" t="s">
        <v>78</v>
      </c>
      <c r="D81" s="54" t="s">
        <v>80</v>
      </c>
      <c r="E81" s="79">
        <v>2500000</v>
      </c>
      <c r="F81" s="52">
        <v>1</v>
      </c>
      <c r="G81" s="52">
        <v>1</v>
      </c>
      <c r="H81" s="52">
        <v>1</v>
      </c>
      <c r="I81" s="53">
        <f>E81*F81</f>
        <v>2500000</v>
      </c>
      <c r="J81" s="74">
        <v>0</v>
      </c>
      <c r="K81" s="53">
        <f>I81-I81*J81</f>
        <v>2500000</v>
      </c>
      <c r="L81" s="29">
        <f>2160000+(2160000*L79)</f>
        <v>2462400</v>
      </c>
    </row>
    <row r="82" spans="1:12" ht="15.75" thickBot="1" x14ac:dyDescent="0.3">
      <c r="A82" s="71" t="s">
        <v>10</v>
      </c>
      <c r="B82" s="71" t="s">
        <v>78</v>
      </c>
      <c r="C82" s="72" t="s">
        <v>78</v>
      </c>
      <c r="D82" s="54" t="s">
        <v>81</v>
      </c>
      <c r="E82" s="79">
        <v>7400000</v>
      </c>
      <c r="F82" s="52">
        <v>1</v>
      </c>
      <c r="G82" s="52">
        <v>1</v>
      </c>
      <c r="H82" s="52">
        <v>1</v>
      </c>
      <c r="I82" s="53">
        <f>E82*F82</f>
        <v>7400000</v>
      </c>
      <c r="J82" s="74">
        <v>0</v>
      </c>
      <c r="K82" s="53">
        <f>I82-I82*J82</f>
        <v>7400000</v>
      </c>
      <c r="L82" s="29">
        <f>6500000+(6500000*L79)</f>
        <v>7410000</v>
      </c>
    </row>
    <row r="83" spans="1:12" ht="16.5" thickBot="1" x14ac:dyDescent="0.3">
      <c r="A83" s="80"/>
      <c r="B83" s="80"/>
      <c r="C83" s="80"/>
      <c r="D83" s="80"/>
      <c r="E83" s="78"/>
      <c r="F83" s="78"/>
      <c r="G83" s="78"/>
      <c r="H83" s="78"/>
      <c r="I83" s="76">
        <f>SUM(I80:I82)</f>
        <v>15600000</v>
      </c>
      <c r="J83" s="78"/>
      <c r="K83" s="76">
        <f>SUM(K80:K82)</f>
        <v>15600000</v>
      </c>
    </row>
    <row r="85" spans="1:12" ht="15.75" thickBot="1" x14ac:dyDescent="0.3"/>
    <row r="86" spans="1:12" ht="21" thickBot="1" x14ac:dyDescent="0.35">
      <c r="A86" s="382" t="s">
        <v>338</v>
      </c>
      <c r="B86" s="383"/>
      <c r="C86" s="383"/>
      <c r="D86" s="383"/>
      <c r="E86" s="383"/>
      <c r="F86" s="383"/>
      <c r="G86" s="383"/>
      <c r="H86" s="383"/>
      <c r="I86" s="383"/>
      <c r="J86" s="383"/>
      <c r="K86" s="383"/>
    </row>
    <row r="87" spans="1:12" ht="15.75" thickBot="1" x14ac:dyDescent="0.3">
      <c r="A87" s="49" t="s">
        <v>63</v>
      </c>
      <c r="B87" s="50" t="s">
        <v>64</v>
      </c>
      <c r="C87" s="50" t="s">
        <v>65</v>
      </c>
      <c r="D87" s="50" t="s">
        <v>66</v>
      </c>
      <c r="E87" s="50" t="s">
        <v>67</v>
      </c>
      <c r="F87" s="50" t="s">
        <v>94</v>
      </c>
      <c r="G87" s="50" t="s">
        <v>69</v>
      </c>
      <c r="H87" s="50" t="s">
        <v>70</v>
      </c>
      <c r="I87" s="50" t="s">
        <v>71</v>
      </c>
      <c r="J87" s="50" t="s">
        <v>72</v>
      </c>
      <c r="K87" s="51" t="s">
        <v>73</v>
      </c>
      <c r="L87" s="48">
        <v>0.14000000000000001</v>
      </c>
    </row>
    <row r="88" spans="1:12" x14ac:dyDescent="0.25">
      <c r="A88" s="71" t="s">
        <v>10</v>
      </c>
      <c r="B88" s="71" t="s">
        <v>78</v>
      </c>
      <c r="C88" s="72" t="s">
        <v>78</v>
      </c>
      <c r="D88" s="54" t="s">
        <v>106</v>
      </c>
      <c r="E88" s="79">
        <v>1500000</v>
      </c>
      <c r="F88" s="52">
        <v>1</v>
      </c>
      <c r="G88" s="52">
        <v>1</v>
      </c>
      <c r="H88" s="52">
        <v>1</v>
      </c>
      <c r="I88" s="53">
        <f>E88*F88</f>
        <v>1500000</v>
      </c>
      <c r="J88" s="74">
        <v>0.17333333333333334</v>
      </c>
      <c r="K88" s="53">
        <f>I88-I88*J88</f>
        <v>1240000</v>
      </c>
      <c r="L88" s="29">
        <f>5000000+(5000000*L87)</f>
        <v>5700000</v>
      </c>
    </row>
    <row r="89" spans="1:12" x14ac:dyDescent="0.25">
      <c r="A89" s="71" t="s">
        <v>10</v>
      </c>
      <c r="B89" s="71" t="s">
        <v>78</v>
      </c>
      <c r="C89" s="72" t="s">
        <v>78</v>
      </c>
      <c r="D89" s="54" t="s">
        <v>339</v>
      </c>
      <c r="E89" s="79">
        <v>900000</v>
      </c>
      <c r="F89" s="52">
        <v>1</v>
      </c>
      <c r="G89" s="52">
        <v>1</v>
      </c>
      <c r="H89" s="52">
        <v>1</v>
      </c>
      <c r="I89" s="53">
        <f>E89*F89</f>
        <v>900000</v>
      </c>
      <c r="J89" s="74">
        <v>0.3</v>
      </c>
      <c r="K89" s="53">
        <f>I89-I89*J89</f>
        <v>630000</v>
      </c>
      <c r="L89" s="29">
        <f>2160000+(2160000*L87)</f>
        <v>2462400</v>
      </c>
    </row>
    <row r="90" spans="1:12" ht="15.75" thickBot="1" x14ac:dyDescent="0.3">
      <c r="A90" s="71" t="s">
        <v>10</v>
      </c>
      <c r="B90" s="71" t="s">
        <v>78</v>
      </c>
      <c r="C90" s="72" t="s">
        <v>78</v>
      </c>
      <c r="D90" s="54" t="s">
        <v>340</v>
      </c>
      <c r="E90" s="79">
        <v>900000</v>
      </c>
      <c r="F90" s="52">
        <v>1</v>
      </c>
      <c r="G90" s="52">
        <v>1</v>
      </c>
      <c r="H90" s="52">
        <v>1</v>
      </c>
      <c r="I90" s="53">
        <f>E90*F90</f>
        <v>900000</v>
      </c>
      <c r="J90" s="74">
        <v>0.3</v>
      </c>
      <c r="K90" s="53">
        <f>I90-I90*J90</f>
        <v>630000</v>
      </c>
      <c r="L90" s="29">
        <f>6500000+(6500000*L87)</f>
        <v>7410000</v>
      </c>
    </row>
    <row r="91" spans="1:12" ht="16.5" thickBot="1" x14ac:dyDescent="0.3">
      <c r="A91" s="80"/>
      <c r="B91" s="80"/>
      <c r="C91" s="80"/>
      <c r="D91" s="80"/>
      <c r="E91" s="78"/>
      <c r="F91" s="78"/>
      <c r="G91" s="78"/>
      <c r="H91" s="78"/>
      <c r="I91" s="76">
        <f>SUM(I88:I90)</f>
        <v>3300000</v>
      </c>
      <c r="J91" s="78"/>
      <c r="K91" s="76">
        <f>SUM(K88:K90)</f>
        <v>2500000</v>
      </c>
    </row>
    <row r="92" spans="1:12" ht="15.75" x14ac:dyDescent="0.25">
      <c r="A92" s="80"/>
      <c r="B92" s="80"/>
      <c r="C92" s="80"/>
      <c r="D92" s="80"/>
      <c r="E92" s="78"/>
      <c r="F92" s="78"/>
      <c r="G92" s="78"/>
      <c r="H92" s="78"/>
      <c r="I92" s="78"/>
      <c r="J92" s="78"/>
      <c r="K92" s="78"/>
    </row>
    <row r="93" spans="1:12" ht="16.5" thickBot="1" x14ac:dyDescent="0.3">
      <c r="A93" s="80"/>
      <c r="B93" s="80"/>
      <c r="C93" s="80"/>
      <c r="D93" s="80"/>
      <c r="E93" s="78"/>
      <c r="F93" s="78"/>
      <c r="G93" s="78"/>
      <c r="H93" s="78"/>
      <c r="I93" s="78"/>
      <c r="J93" s="78"/>
      <c r="K93" s="78"/>
    </row>
    <row r="94" spans="1:12" ht="21" thickBot="1" x14ac:dyDescent="0.35">
      <c r="A94" s="382" t="s">
        <v>341</v>
      </c>
      <c r="B94" s="383"/>
      <c r="C94" s="383"/>
      <c r="D94" s="383"/>
      <c r="E94" s="383"/>
      <c r="F94" s="383"/>
      <c r="G94" s="383"/>
      <c r="H94" s="383"/>
      <c r="I94" s="383"/>
      <c r="J94" s="383"/>
      <c r="K94" s="383"/>
    </row>
    <row r="95" spans="1:12" ht="15.75" thickBot="1" x14ac:dyDescent="0.3">
      <c r="A95" s="49" t="s">
        <v>63</v>
      </c>
      <c r="B95" s="50" t="s">
        <v>64</v>
      </c>
      <c r="C95" s="50" t="s">
        <v>65</v>
      </c>
      <c r="D95" s="50" t="s">
        <v>66</v>
      </c>
      <c r="E95" s="50" t="s">
        <v>67</v>
      </c>
      <c r="F95" s="50" t="s">
        <v>94</v>
      </c>
      <c r="G95" s="50" t="s">
        <v>69</v>
      </c>
      <c r="H95" s="50" t="s">
        <v>70</v>
      </c>
      <c r="I95" s="50" t="s">
        <v>71</v>
      </c>
      <c r="J95" s="50" t="s">
        <v>72</v>
      </c>
      <c r="K95" s="51" t="s">
        <v>73</v>
      </c>
      <c r="L95" s="48">
        <v>0.14000000000000001</v>
      </c>
    </row>
    <row r="96" spans="1:12" x14ac:dyDescent="0.25">
      <c r="A96" s="71" t="s">
        <v>10</v>
      </c>
      <c r="B96" s="71" t="s">
        <v>78</v>
      </c>
      <c r="C96" s="72" t="s">
        <v>78</v>
      </c>
      <c r="D96" s="54" t="s">
        <v>106</v>
      </c>
      <c r="E96" s="79">
        <v>1000000</v>
      </c>
      <c r="F96" s="52">
        <v>1</v>
      </c>
      <c r="G96" s="52">
        <v>1</v>
      </c>
      <c r="H96" s="52">
        <v>1</v>
      </c>
      <c r="I96" s="53">
        <f>E96*F96</f>
        <v>1000000</v>
      </c>
      <c r="J96" s="74">
        <v>0.47</v>
      </c>
      <c r="K96" s="53">
        <f>I96-I96*J96</f>
        <v>530000</v>
      </c>
      <c r="L96" s="29">
        <f>5000000+(5000000*L95)</f>
        <v>5700000</v>
      </c>
    </row>
    <row r="97" spans="1:12" ht="15.75" thickBot="1" x14ac:dyDescent="0.3">
      <c r="A97" s="71" t="s">
        <v>10</v>
      </c>
      <c r="B97" s="71" t="s">
        <v>78</v>
      </c>
      <c r="C97" s="72" t="s">
        <v>78</v>
      </c>
      <c r="D97" s="54" t="s">
        <v>339</v>
      </c>
      <c r="E97" s="79">
        <v>900000</v>
      </c>
      <c r="F97" s="52">
        <v>1</v>
      </c>
      <c r="G97" s="52">
        <v>1</v>
      </c>
      <c r="H97" s="52">
        <v>1</v>
      </c>
      <c r="I97" s="53">
        <f>E97*F97</f>
        <v>900000</v>
      </c>
      <c r="J97" s="74">
        <v>0.47777777777777775</v>
      </c>
      <c r="K97" s="53">
        <f>I97-I97*J97</f>
        <v>470000</v>
      </c>
      <c r="L97" s="29">
        <f>2160000+(2160000*L95)</f>
        <v>2462400</v>
      </c>
    </row>
    <row r="98" spans="1:12" ht="16.5" thickBot="1" x14ac:dyDescent="0.3">
      <c r="A98" s="80"/>
      <c r="B98" s="80"/>
      <c r="C98" s="80"/>
      <c r="D98" s="80"/>
      <c r="E98" s="78"/>
      <c r="F98" s="78"/>
      <c r="G98" s="78"/>
      <c r="H98" s="78"/>
      <c r="I98" s="76">
        <f>SUM(I96:I97)</f>
        <v>1900000</v>
      </c>
      <c r="J98" s="78"/>
      <c r="K98" s="76">
        <f>SUM(K96:K97)</f>
        <v>1000000</v>
      </c>
    </row>
    <row r="99" spans="1:12" ht="16.5" thickBot="1" x14ac:dyDescent="0.3">
      <c r="A99" s="80"/>
      <c r="B99" s="80"/>
      <c r="C99" s="80"/>
      <c r="D99" s="80"/>
      <c r="E99" s="78"/>
      <c r="F99" s="78"/>
      <c r="G99" s="78"/>
      <c r="H99" s="78"/>
      <c r="I99" s="78"/>
      <c r="J99" s="78"/>
      <c r="K99" s="78"/>
    </row>
    <row r="100" spans="1:12" ht="21" thickBot="1" x14ac:dyDescent="0.35">
      <c r="A100" s="382" t="s">
        <v>285</v>
      </c>
      <c r="B100" s="383"/>
      <c r="C100" s="383"/>
      <c r="D100" s="383"/>
      <c r="E100" s="383"/>
      <c r="F100" s="383"/>
      <c r="G100" s="383"/>
      <c r="H100" s="383"/>
      <c r="I100" s="383"/>
      <c r="J100" s="383"/>
      <c r="K100" s="383"/>
    </row>
    <row r="101" spans="1:12" ht="15.75" thickBot="1" x14ac:dyDescent="0.3">
      <c r="A101" s="49" t="s">
        <v>63</v>
      </c>
      <c r="B101" s="50" t="s">
        <v>64</v>
      </c>
      <c r="C101" s="50" t="s">
        <v>65</v>
      </c>
      <c r="D101" s="50" t="s">
        <v>66</v>
      </c>
      <c r="E101" s="50" t="s">
        <v>67</v>
      </c>
      <c r="F101" s="50" t="s">
        <v>94</v>
      </c>
      <c r="G101" s="50" t="s">
        <v>69</v>
      </c>
      <c r="H101" s="50" t="s">
        <v>105</v>
      </c>
      <c r="I101" s="50" t="s">
        <v>71</v>
      </c>
      <c r="J101" s="77" t="s">
        <v>72</v>
      </c>
      <c r="K101" s="51" t="s">
        <v>73</v>
      </c>
      <c r="L101" s="48">
        <v>0.14000000000000001</v>
      </c>
    </row>
    <row r="102" spans="1:12" x14ac:dyDescent="0.25">
      <c r="A102" s="71" t="s">
        <v>11</v>
      </c>
      <c r="B102" s="71" t="s">
        <v>78</v>
      </c>
      <c r="C102" s="72" t="s">
        <v>78</v>
      </c>
      <c r="D102" s="54" t="s">
        <v>106</v>
      </c>
      <c r="E102" s="201">
        <f>L102</f>
        <v>5700000</v>
      </c>
      <c r="F102" s="52">
        <v>1</v>
      </c>
      <c r="G102" s="52">
        <v>1</v>
      </c>
      <c r="H102" s="52">
        <v>1</v>
      </c>
      <c r="I102" s="53">
        <f>E102*F102</f>
        <v>5700000</v>
      </c>
      <c r="J102" s="74">
        <v>0</v>
      </c>
      <c r="K102" s="53">
        <f>I102-I102*J102</f>
        <v>5700000</v>
      </c>
      <c r="L102" s="29">
        <f>5000000+(5000000*L101)</f>
        <v>5700000</v>
      </c>
    </row>
    <row r="103" spans="1:12" x14ac:dyDescent="0.25">
      <c r="A103" s="71" t="s">
        <v>11</v>
      </c>
      <c r="B103" s="71" t="s">
        <v>78</v>
      </c>
      <c r="C103" s="72" t="s">
        <v>78</v>
      </c>
      <c r="D103" s="54" t="s">
        <v>80</v>
      </c>
      <c r="E103" s="79">
        <f>L103</f>
        <v>1710000</v>
      </c>
      <c r="F103" s="52">
        <v>1</v>
      </c>
      <c r="G103" s="52">
        <v>1</v>
      </c>
      <c r="H103" s="52">
        <v>1</v>
      </c>
      <c r="I103" s="53">
        <f>E103*F103</f>
        <v>1710000</v>
      </c>
      <c r="J103" s="74">
        <v>0.4</v>
      </c>
      <c r="K103" s="53">
        <f>I103-I103*J103</f>
        <v>1026000</v>
      </c>
      <c r="L103" s="29">
        <f>1500000+(1500000*L101)</f>
        <v>1710000</v>
      </c>
    </row>
    <row r="104" spans="1:12" ht="15.75" thickBot="1" x14ac:dyDescent="0.3">
      <c r="A104" s="71" t="s">
        <v>11</v>
      </c>
      <c r="B104" s="71" t="s">
        <v>78</v>
      </c>
      <c r="C104" s="72" t="s">
        <v>78</v>
      </c>
      <c r="D104" s="54" t="s">
        <v>81</v>
      </c>
      <c r="E104" s="79">
        <f>L104</f>
        <v>2462400</v>
      </c>
      <c r="F104" s="52">
        <v>1</v>
      </c>
      <c r="G104" s="52">
        <v>1</v>
      </c>
      <c r="H104" s="52">
        <v>1</v>
      </c>
      <c r="I104" s="53">
        <f>E104*F104</f>
        <v>2462400</v>
      </c>
      <c r="J104" s="74">
        <v>0.40139701104613396</v>
      </c>
      <c r="K104" s="53">
        <f>I104-I104*J104</f>
        <v>1473999.9999999998</v>
      </c>
      <c r="L104" s="29">
        <f>2160000+(2160000*L101)</f>
        <v>2462400</v>
      </c>
    </row>
    <row r="105" spans="1:12" ht="15.75" thickBot="1" x14ac:dyDescent="0.3">
      <c r="A105" s="78"/>
      <c r="B105" s="78"/>
      <c r="C105" s="78"/>
      <c r="D105" s="78"/>
      <c r="E105" s="78"/>
      <c r="F105" s="78"/>
      <c r="G105" s="78"/>
      <c r="H105" s="78"/>
      <c r="I105" s="76">
        <f>SUM(I102:I104)</f>
        <v>9872400</v>
      </c>
      <c r="J105" s="78"/>
      <c r="K105" s="76">
        <f>SUM(K102:K104)</f>
        <v>8200000</v>
      </c>
    </row>
    <row r="106" spans="1:12" ht="15.75" thickBot="1" x14ac:dyDescent="0.3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</row>
    <row r="107" spans="1:12" ht="21" thickBot="1" x14ac:dyDescent="0.35">
      <c r="A107" s="382" t="s">
        <v>286</v>
      </c>
      <c r="B107" s="383"/>
      <c r="C107" s="383"/>
      <c r="D107" s="383"/>
      <c r="E107" s="383"/>
      <c r="F107" s="383"/>
      <c r="G107" s="383"/>
      <c r="H107" s="383"/>
      <c r="I107" s="383"/>
      <c r="J107" s="383"/>
      <c r="K107" s="383"/>
    </row>
    <row r="108" spans="1:12" ht="15.75" thickBot="1" x14ac:dyDescent="0.3">
      <c r="A108" s="49" t="s">
        <v>63</v>
      </c>
      <c r="B108" s="50" t="s">
        <v>64</v>
      </c>
      <c r="C108" s="50" t="s">
        <v>65</v>
      </c>
      <c r="D108" s="50" t="s">
        <v>66</v>
      </c>
      <c r="E108" s="50" t="s">
        <v>67</v>
      </c>
      <c r="F108" s="50" t="s">
        <v>94</v>
      </c>
      <c r="G108" s="50" t="s">
        <v>69</v>
      </c>
      <c r="H108" s="50" t="s">
        <v>105</v>
      </c>
      <c r="I108" s="50" t="s">
        <v>71</v>
      </c>
      <c r="J108" s="77" t="s">
        <v>72</v>
      </c>
      <c r="K108" s="51" t="s">
        <v>73</v>
      </c>
      <c r="L108" s="48">
        <v>0.14000000000000001</v>
      </c>
    </row>
    <row r="109" spans="1:12" x14ac:dyDescent="0.25">
      <c r="A109" s="71" t="s">
        <v>11</v>
      </c>
      <c r="B109" s="71" t="s">
        <v>78</v>
      </c>
      <c r="C109" s="72" t="s">
        <v>78</v>
      </c>
      <c r="D109" s="54" t="s">
        <v>106</v>
      </c>
      <c r="E109" s="201">
        <f>L109</f>
        <v>5700000</v>
      </c>
      <c r="F109" s="52">
        <v>1</v>
      </c>
      <c r="G109" s="52">
        <v>1</v>
      </c>
      <c r="H109" s="52">
        <v>1</v>
      </c>
      <c r="I109" s="53">
        <f>E109*F109</f>
        <v>5700000</v>
      </c>
      <c r="J109" s="74">
        <v>0</v>
      </c>
      <c r="K109" s="53">
        <f>I109-I109*J109</f>
        <v>5700000</v>
      </c>
      <c r="L109" s="29">
        <f>5000000+(5000000*L108)</f>
        <v>5700000</v>
      </c>
    </row>
    <row r="110" spans="1:12" x14ac:dyDescent="0.25">
      <c r="A110" s="71" t="s">
        <v>11</v>
      </c>
      <c r="B110" s="71" t="s">
        <v>78</v>
      </c>
      <c r="C110" s="72" t="s">
        <v>78</v>
      </c>
      <c r="D110" s="54" t="s">
        <v>80</v>
      </c>
      <c r="E110" s="79">
        <f>L110</f>
        <v>1710000</v>
      </c>
      <c r="F110" s="52">
        <v>1</v>
      </c>
      <c r="G110" s="52">
        <v>1</v>
      </c>
      <c r="H110" s="52">
        <v>1</v>
      </c>
      <c r="I110" s="53">
        <f>E110*F110</f>
        <v>1710000</v>
      </c>
      <c r="J110" s="74">
        <v>0.15</v>
      </c>
      <c r="K110" s="53">
        <f>I110-I110*J110</f>
        <v>1453500</v>
      </c>
      <c r="L110" s="29">
        <f>1500000+(1500000*L108)</f>
        <v>1710000</v>
      </c>
    </row>
    <row r="111" spans="1:12" ht="15.75" thickBot="1" x14ac:dyDescent="0.3">
      <c r="A111" s="71" t="s">
        <v>11</v>
      </c>
      <c r="B111" s="71" t="s">
        <v>78</v>
      </c>
      <c r="C111" s="72" t="s">
        <v>78</v>
      </c>
      <c r="D111" s="54" t="s">
        <v>81</v>
      </c>
      <c r="E111" s="79">
        <f>L111</f>
        <v>2462400</v>
      </c>
      <c r="F111" s="52">
        <v>1</v>
      </c>
      <c r="G111" s="52">
        <v>1</v>
      </c>
      <c r="H111" s="52">
        <v>1</v>
      </c>
      <c r="I111" s="53">
        <f>E111*F111</f>
        <v>2462400</v>
      </c>
      <c r="J111" s="74">
        <v>0.1282894736842104</v>
      </c>
      <c r="K111" s="53">
        <f>I111-I111*J111</f>
        <v>2146500.0000000005</v>
      </c>
      <c r="L111" s="29">
        <f>2160000+(2160000*L108)</f>
        <v>2462400</v>
      </c>
    </row>
    <row r="112" spans="1:12" ht="15.75" thickBot="1" x14ac:dyDescent="0.3">
      <c r="A112" s="78"/>
      <c r="B112" s="78"/>
      <c r="C112" s="78"/>
      <c r="D112" s="78"/>
      <c r="E112" s="78"/>
      <c r="F112" s="78"/>
      <c r="G112" s="78"/>
      <c r="H112" s="78"/>
      <c r="I112" s="76">
        <f>SUM(I109:I111)</f>
        <v>9872400</v>
      </c>
      <c r="J112" s="78"/>
      <c r="K112" s="76">
        <f>SUM(K109:K111)</f>
        <v>9300000</v>
      </c>
    </row>
    <row r="113" spans="1:12" ht="15.75" thickBot="1" x14ac:dyDescent="0.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</row>
    <row r="114" spans="1:12" ht="21" thickBot="1" x14ac:dyDescent="0.35">
      <c r="A114" s="382" t="s">
        <v>287</v>
      </c>
      <c r="B114" s="383"/>
      <c r="C114" s="383"/>
      <c r="D114" s="383"/>
      <c r="E114" s="383"/>
      <c r="F114" s="383"/>
      <c r="G114" s="383"/>
      <c r="H114" s="383"/>
      <c r="I114" s="383"/>
      <c r="J114" s="383"/>
      <c r="K114" s="383"/>
    </row>
    <row r="115" spans="1:12" ht="15.75" thickBot="1" x14ac:dyDescent="0.3">
      <c r="A115" s="49" t="s">
        <v>63</v>
      </c>
      <c r="B115" s="50" t="s">
        <v>64</v>
      </c>
      <c r="C115" s="50" t="s">
        <v>65</v>
      </c>
      <c r="D115" s="50" t="s">
        <v>66</v>
      </c>
      <c r="E115" s="50" t="s">
        <v>67</v>
      </c>
      <c r="F115" s="50" t="s">
        <v>94</v>
      </c>
      <c r="G115" s="50" t="s">
        <v>69</v>
      </c>
      <c r="H115" s="50" t="s">
        <v>105</v>
      </c>
      <c r="I115" s="50" t="s">
        <v>71</v>
      </c>
      <c r="J115" s="77" t="s">
        <v>72</v>
      </c>
      <c r="K115" s="51" t="s">
        <v>73</v>
      </c>
      <c r="L115" s="48">
        <v>0.14000000000000001</v>
      </c>
    </row>
    <row r="116" spans="1:12" x14ac:dyDescent="0.25">
      <c r="A116" s="71" t="s">
        <v>11</v>
      </c>
      <c r="B116" s="71" t="s">
        <v>78</v>
      </c>
      <c r="C116" s="72" t="s">
        <v>78</v>
      </c>
      <c r="D116" s="54" t="s">
        <v>106</v>
      </c>
      <c r="E116" s="201">
        <f>L116</f>
        <v>5700000</v>
      </c>
      <c r="F116" s="52">
        <v>1</v>
      </c>
      <c r="G116" s="52">
        <v>1</v>
      </c>
      <c r="H116" s="52">
        <v>1</v>
      </c>
      <c r="I116" s="53">
        <f>E116*F116</f>
        <v>5700000</v>
      </c>
      <c r="J116" s="74">
        <v>0</v>
      </c>
      <c r="K116" s="53">
        <f>I116-I116*J116</f>
        <v>5700000</v>
      </c>
      <c r="L116" s="29">
        <f>5000000+(5000000*L115)</f>
        <v>5700000</v>
      </c>
    </row>
    <row r="117" spans="1:12" x14ac:dyDescent="0.25">
      <c r="A117" s="71" t="s">
        <v>11</v>
      </c>
      <c r="B117" s="71" t="s">
        <v>78</v>
      </c>
      <c r="C117" s="72" t="s">
        <v>78</v>
      </c>
      <c r="D117" s="54" t="s">
        <v>80</v>
      </c>
      <c r="E117" s="79">
        <f>L117</f>
        <v>1710000</v>
      </c>
      <c r="F117" s="52">
        <v>1</v>
      </c>
      <c r="G117" s="52">
        <v>1</v>
      </c>
      <c r="H117" s="52">
        <v>1</v>
      </c>
      <c r="I117" s="53">
        <f>E117*F117</f>
        <v>1710000</v>
      </c>
      <c r="J117" s="74">
        <v>0</v>
      </c>
      <c r="K117" s="53">
        <f>I117-I117*J117</f>
        <v>1710000</v>
      </c>
      <c r="L117" s="29">
        <f>1500000+(1500000*L115)</f>
        <v>1710000</v>
      </c>
    </row>
    <row r="118" spans="1:12" ht="15.75" thickBot="1" x14ac:dyDescent="0.3">
      <c r="A118" s="71" t="s">
        <v>11</v>
      </c>
      <c r="B118" s="71" t="s">
        <v>78</v>
      </c>
      <c r="C118" s="72" t="s">
        <v>78</v>
      </c>
      <c r="D118" s="54" t="s">
        <v>81</v>
      </c>
      <c r="E118" s="79">
        <f>L118</f>
        <v>2462400</v>
      </c>
      <c r="F118" s="52">
        <v>1</v>
      </c>
      <c r="G118" s="52">
        <v>1</v>
      </c>
      <c r="H118" s="52">
        <v>1</v>
      </c>
      <c r="I118" s="53">
        <f>E118*F118</f>
        <v>2462400</v>
      </c>
      <c r="J118" s="74">
        <v>9.0968161143599735E-3</v>
      </c>
      <c r="K118" s="53">
        <f>I118-I118*J118</f>
        <v>2440000</v>
      </c>
      <c r="L118" s="29">
        <f>2160000+(2160000*L115)</f>
        <v>2462400</v>
      </c>
    </row>
    <row r="119" spans="1:12" ht="15.75" thickBot="1" x14ac:dyDescent="0.3">
      <c r="A119" s="78"/>
      <c r="B119" s="78"/>
      <c r="C119" s="78"/>
      <c r="D119" s="78"/>
      <c r="E119" s="78"/>
      <c r="F119" s="78"/>
      <c r="G119" s="78"/>
      <c r="H119" s="78"/>
      <c r="I119" s="76">
        <f>SUM(I116:I118)</f>
        <v>9872400</v>
      </c>
      <c r="J119" s="78"/>
      <c r="K119" s="76">
        <f>SUM(K116:K118)</f>
        <v>9850000</v>
      </c>
    </row>
    <row r="121" spans="1:12" ht="15.75" thickBot="1" x14ac:dyDescent="0.3"/>
    <row r="122" spans="1:12" ht="21" thickBot="1" x14ac:dyDescent="0.35">
      <c r="A122" s="382" t="s">
        <v>349</v>
      </c>
      <c r="B122" s="383"/>
      <c r="C122" s="383"/>
      <c r="D122" s="383"/>
      <c r="E122" s="383"/>
      <c r="F122" s="383"/>
      <c r="G122" s="383"/>
      <c r="H122" s="383"/>
      <c r="I122" s="383"/>
      <c r="J122" s="383"/>
      <c r="K122" s="383"/>
    </row>
    <row r="123" spans="1:12" ht="15.75" thickBot="1" x14ac:dyDescent="0.3">
      <c r="A123" s="49" t="s">
        <v>63</v>
      </c>
      <c r="B123" s="50" t="s">
        <v>64</v>
      </c>
      <c r="C123" s="50" t="s">
        <v>65</v>
      </c>
      <c r="D123" s="50" t="s">
        <v>66</v>
      </c>
      <c r="E123" s="50" t="s">
        <v>67</v>
      </c>
      <c r="F123" s="50" t="s">
        <v>94</v>
      </c>
      <c r="G123" s="50" t="s">
        <v>69</v>
      </c>
      <c r="H123" s="50" t="s">
        <v>70</v>
      </c>
      <c r="I123" s="50" t="s">
        <v>71</v>
      </c>
      <c r="J123" s="50" t="s">
        <v>72</v>
      </c>
      <c r="K123" s="51" t="s">
        <v>73</v>
      </c>
      <c r="L123" s="48">
        <v>0.14000000000000001</v>
      </c>
    </row>
    <row r="124" spans="1:12" x14ac:dyDescent="0.25">
      <c r="A124" s="71" t="s">
        <v>10</v>
      </c>
      <c r="B124" s="71" t="s">
        <v>78</v>
      </c>
      <c r="C124" s="72" t="s">
        <v>78</v>
      </c>
      <c r="D124" s="54" t="s">
        <v>106</v>
      </c>
      <c r="E124" s="201">
        <v>1500000</v>
      </c>
      <c r="F124" s="52">
        <v>1</v>
      </c>
      <c r="G124" s="52">
        <v>1</v>
      </c>
      <c r="H124" s="52">
        <v>1</v>
      </c>
      <c r="I124" s="53">
        <f>E124*F124</f>
        <v>1500000</v>
      </c>
      <c r="J124" s="74">
        <v>0.17333333333333334</v>
      </c>
      <c r="K124" s="53">
        <f>I124-I124*J124</f>
        <v>1240000</v>
      </c>
      <c r="L124" s="29">
        <f>5000000+(5000000*L123)</f>
        <v>5700000</v>
      </c>
    </row>
    <row r="125" spans="1:12" x14ac:dyDescent="0.25">
      <c r="A125" s="71" t="s">
        <v>10</v>
      </c>
      <c r="B125" s="71" t="s">
        <v>78</v>
      </c>
      <c r="C125" s="72" t="s">
        <v>78</v>
      </c>
      <c r="D125" s="54" t="s">
        <v>339</v>
      </c>
      <c r="E125" s="79">
        <v>900000</v>
      </c>
      <c r="F125" s="52">
        <v>1</v>
      </c>
      <c r="G125" s="52">
        <v>1</v>
      </c>
      <c r="H125" s="52">
        <v>1</v>
      </c>
      <c r="I125" s="53">
        <f>E125*F125</f>
        <v>900000</v>
      </c>
      <c r="J125" s="74">
        <v>0.3</v>
      </c>
      <c r="K125" s="53">
        <f>I125-I125*J125</f>
        <v>630000</v>
      </c>
      <c r="L125" s="29">
        <f>2160000+(2160000*L123)</f>
        <v>2462400</v>
      </c>
    </row>
    <row r="126" spans="1:12" ht="15.75" thickBot="1" x14ac:dyDescent="0.3">
      <c r="A126" s="71" t="s">
        <v>10</v>
      </c>
      <c r="B126" s="71" t="s">
        <v>78</v>
      </c>
      <c r="C126" s="72" t="s">
        <v>78</v>
      </c>
      <c r="D126" s="54" t="s">
        <v>340</v>
      </c>
      <c r="E126" s="79">
        <v>900000</v>
      </c>
      <c r="F126" s="52">
        <v>1</v>
      </c>
      <c r="G126" s="52">
        <v>1</v>
      </c>
      <c r="H126" s="52">
        <v>1</v>
      </c>
      <c r="I126" s="53">
        <f>E126*F126</f>
        <v>900000</v>
      </c>
      <c r="J126" s="74">
        <v>0.3</v>
      </c>
      <c r="K126" s="53">
        <f>I126-I126*J126</f>
        <v>630000</v>
      </c>
      <c r="L126" s="29">
        <f>6500000+(6500000*L123)</f>
        <v>7410000</v>
      </c>
    </row>
    <row r="127" spans="1:12" ht="16.5" thickBot="1" x14ac:dyDescent="0.3">
      <c r="A127" s="80"/>
      <c r="B127" s="80"/>
      <c r="C127" s="80"/>
      <c r="D127" s="80"/>
      <c r="E127" s="78"/>
      <c r="F127" s="78"/>
      <c r="G127" s="78"/>
      <c r="H127" s="78"/>
      <c r="I127" s="76">
        <f>SUM(I124:I126)</f>
        <v>3300000</v>
      </c>
      <c r="J127" s="78"/>
      <c r="K127" s="76">
        <f>SUM(K124:K126)</f>
        <v>2500000</v>
      </c>
    </row>
    <row r="128" spans="1:12" ht="15.75" x14ac:dyDescent="0.25">
      <c r="A128" s="80"/>
      <c r="B128" s="80"/>
      <c r="C128" s="80"/>
      <c r="D128" s="80"/>
      <c r="E128" s="78"/>
      <c r="F128" s="78"/>
      <c r="G128" s="78"/>
      <c r="H128" s="78"/>
      <c r="I128" s="78"/>
      <c r="J128" s="78"/>
      <c r="K128" s="78"/>
    </row>
    <row r="129" spans="1:12" ht="16.5" thickBot="1" x14ac:dyDescent="0.3">
      <c r="A129" s="80"/>
      <c r="B129" s="80"/>
      <c r="C129" s="80"/>
      <c r="D129" s="80"/>
      <c r="E129" s="78"/>
      <c r="F129" s="78"/>
      <c r="G129" s="78"/>
      <c r="H129" s="78"/>
      <c r="I129" s="78"/>
      <c r="J129" s="78"/>
      <c r="K129" s="78"/>
    </row>
    <row r="130" spans="1:12" ht="21" thickBot="1" x14ac:dyDescent="0.35">
      <c r="A130" s="382" t="s">
        <v>350</v>
      </c>
      <c r="B130" s="383"/>
      <c r="C130" s="383"/>
      <c r="D130" s="383"/>
      <c r="E130" s="383"/>
      <c r="F130" s="383"/>
      <c r="G130" s="383"/>
      <c r="H130" s="383"/>
      <c r="I130" s="383"/>
      <c r="J130" s="383"/>
      <c r="K130" s="383"/>
    </row>
    <row r="131" spans="1:12" ht="15.75" thickBot="1" x14ac:dyDescent="0.3">
      <c r="A131" s="49" t="s">
        <v>63</v>
      </c>
      <c r="B131" s="50" t="s">
        <v>64</v>
      </c>
      <c r="C131" s="50" t="s">
        <v>65</v>
      </c>
      <c r="D131" s="50" t="s">
        <v>66</v>
      </c>
      <c r="E131" s="50" t="s">
        <v>67</v>
      </c>
      <c r="F131" s="50" t="s">
        <v>94</v>
      </c>
      <c r="G131" s="50" t="s">
        <v>69</v>
      </c>
      <c r="H131" s="50" t="s">
        <v>70</v>
      </c>
      <c r="I131" s="50" t="s">
        <v>71</v>
      </c>
      <c r="J131" s="50" t="s">
        <v>72</v>
      </c>
      <c r="K131" s="51" t="s">
        <v>73</v>
      </c>
      <c r="L131" s="48">
        <v>0.14000000000000001</v>
      </c>
    </row>
    <row r="132" spans="1:12" x14ac:dyDescent="0.25">
      <c r="A132" s="71" t="s">
        <v>10</v>
      </c>
      <c r="B132" s="71" t="s">
        <v>78</v>
      </c>
      <c r="C132" s="72" t="s">
        <v>78</v>
      </c>
      <c r="D132" s="54" t="s">
        <v>106</v>
      </c>
      <c r="E132" s="79">
        <v>1000000</v>
      </c>
      <c r="F132" s="52">
        <v>1</v>
      </c>
      <c r="G132" s="52">
        <v>1</v>
      </c>
      <c r="H132" s="52">
        <v>1</v>
      </c>
      <c r="I132" s="53">
        <f>E132*F132</f>
        <v>1000000</v>
      </c>
      <c r="J132" s="74">
        <v>0.47</v>
      </c>
      <c r="K132" s="53">
        <f>I132-I132*J132</f>
        <v>530000</v>
      </c>
      <c r="L132" s="29">
        <f>5000000+(5000000*L131)</f>
        <v>5700000</v>
      </c>
    </row>
    <row r="133" spans="1:12" ht="15.75" thickBot="1" x14ac:dyDescent="0.3">
      <c r="A133" s="71" t="s">
        <v>10</v>
      </c>
      <c r="B133" s="71" t="s">
        <v>78</v>
      </c>
      <c r="C133" s="72" t="s">
        <v>78</v>
      </c>
      <c r="D133" s="54" t="s">
        <v>339</v>
      </c>
      <c r="E133" s="79">
        <v>900000</v>
      </c>
      <c r="F133" s="52">
        <v>1</v>
      </c>
      <c r="G133" s="52">
        <v>1</v>
      </c>
      <c r="H133" s="52">
        <v>1</v>
      </c>
      <c r="I133" s="53">
        <f>E133*F133</f>
        <v>900000</v>
      </c>
      <c r="J133" s="74">
        <v>0.47777777777777775</v>
      </c>
      <c r="K133" s="53">
        <f>I133-I133*J133</f>
        <v>470000</v>
      </c>
      <c r="L133" s="29">
        <f>2160000+(2160000*L131)</f>
        <v>2462400</v>
      </c>
    </row>
    <row r="134" spans="1:12" ht="16.5" thickBot="1" x14ac:dyDescent="0.3">
      <c r="A134" s="80"/>
      <c r="B134" s="80"/>
      <c r="C134" s="80"/>
      <c r="D134" s="80"/>
      <c r="E134" s="78"/>
      <c r="F134" s="78"/>
      <c r="G134" s="78"/>
      <c r="H134" s="78"/>
      <c r="I134" s="76">
        <f>SUM(I132:I133)</f>
        <v>1900000</v>
      </c>
      <c r="J134" s="78"/>
      <c r="K134" s="76">
        <f>SUM(K132:K133)</f>
        <v>1000000</v>
      </c>
    </row>
    <row r="135" spans="1:12" ht="15.75" thickBot="1" x14ac:dyDescent="0.3"/>
    <row r="136" spans="1:12" ht="18.75" thickBot="1" x14ac:dyDescent="0.3">
      <c r="A136" s="386" t="s">
        <v>288</v>
      </c>
      <c r="B136" s="387"/>
      <c r="C136" s="387"/>
      <c r="D136" s="387"/>
      <c r="E136" s="387"/>
      <c r="F136" s="387"/>
      <c r="G136" s="387"/>
      <c r="H136" s="387"/>
      <c r="I136" s="387"/>
      <c r="J136" s="387"/>
      <c r="K136" s="388"/>
    </row>
    <row r="137" spans="1:12" ht="15.75" thickBot="1" x14ac:dyDescent="0.3">
      <c r="A137" s="65" t="s">
        <v>63</v>
      </c>
      <c r="B137" s="66" t="s">
        <v>64</v>
      </c>
      <c r="C137" s="66" t="s">
        <v>65</v>
      </c>
      <c r="D137" s="66" t="s">
        <v>66</v>
      </c>
      <c r="E137" s="66" t="s">
        <v>67</v>
      </c>
      <c r="F137" s="66" t="s">
        <v>68</v>
      </c>
      <c r="G137" s="66" t="s">
        <v>69</v>
      </c>
      <c r="H137" s="66" t="s">
        <v>70</v>
      </c>
      <c r="I137" s="67" t="s">
        <v>71</v>
      </c>
      <c r="J137" s="68" t="s">
        <v>72</v>
      </c>
      <c r="K137" s="69" t="s">
        <v>73</v>
      </c>
    </row>
    <row r="138" spans="1:12" x14ac:dyDescent="0.25">
      <c r="A138" s="37" t="s">
        <v>103</v>
      </c>
      <c r="B138" s="37" t="s">
        <v>78</v>
      </c>
      <c r="C138" s="70" t="s">
        <v>78</v>
      </c>
      <c r="D138" s="39" t="s">
        <v>106</v>
      </c>
      <c r="E138" s="40">
        <v>11000000</v>
      </c>
      <c r="F138" s="41">
        <v>1</v>
      </c>
      <c r="G138" s="41">
        <v>1</v>
      </c>
      <c r="H138" s="40">
        <f t="shared" ref="H138:H140" si="0">F138*G138</f>
        <v>1</v>
      </c>
      <c r="I138" s="40">
        <f>H138*E138</f>
        <v>11000000</v>
      </c>
      <c r="J138" s="61">
        <v>0</v>
      </c>
      <c r="K138" s="40">
        <f t="shared" ref="K138:K140" si="1">I138-(I138*J138)</f>
        <v>11000000</v>
      </c>
    </row>
    <row r="139" spans="1:12" x14ac:dyDescent="0.25">
      <c r="A139" s="37" t="s">
        <v>103</v>
      </c>
      <c r="B139" s="37" t="s">
        <v>78</v>
      </c>
      <c r="C139" s="70" t="s">
        <v>78</v>
      </c>
      <c r="D139" s="43" t="s">
        <v>80</v>
      </c>
      <c r="E139" s="40">
        <v>4000000</v>
      </c>
      <c r="F139" s="41">
        <v>1</v>
      </c>
      <c r="G139" s="41">
        <v>1</v>
      </c>
      <c r="H139" s="40">
        <f t="shared" si="0"/>
        <v>1</v>
      </c>
      <c r="I139" s="40">
        <f>H139*E139</f>
        <v>4000000</v>
      </c>
      <c r="J139" s="61">
        <v>0.38</v>
      </c>
      <c r="K139" s="40">
        <f t="shared" si="1"/>
        <v>2480000</v>
      </c>
    </row>
    <row r="140" spans="1:12" ht="15.75" thickBot="1" x14ac:dyDescent="0.3">
      <c r="A140" s="37" t="s">
        <v>103</v>
      </c>
      <c r="B140" s="37" t="s">
        <v>78</v>
      </c>
      <c r="C140" s="70" t="s">
        <v>78</v>
      </c>
      <c r="D140" s="43" t="s">
        <v>104</v>
      </c>
      <c r="E140" s="40">
        <v>4000000</v>
      </c>
      <c r="F140" s="41">
        <v>1</v>
      </c>
      <c r="G140" s="41">
        <v>1</v>
      </c>
      <c r="H140" s="40">
        <f t="shared" si="0"/>
        <v>1</v>
      </c>
      <c r="I140" s="40">
        <f>H140*E140</f>
        <v>4000000</v>
      </c>
      <c r="J140" s="61">
        <v>0.37</v>
      </c>
      <c r="K140" s="40">
        <f t="shared" si="1"/>
        <v>2520000</v>
      </c>
    </row>
    <row r="141" spans="1:12" ht="15.75" x14ac:dyDescent="0.25">
      <c r="A141" s="44"/>
      <c r="B141" s="44"/>
      <c r="C141" s="44"/>
      <c r="D141" s="44"/>
      <c r="E141" s="44"/>
      <c r="F141" s="44"/>
      <c r="G141" s="44"/>
      <c r="H141" s="44"/>
      <c r="I141" s="45">
        <f>SUM(I138:I140)</f>
        <v>19000000</v>
      </c>
      <c r="J141" s="62"/>
      <c r="K141" s="46">
        <f>SUM(K138:K140)</f>
        <v>16000000</v>
      </c>
    </row>
    <row r="142" spans="1:12" x14ac:dyDescent="0.25">
      <c r="J142" s="63"/>
    </row>
    <row r="143" spans="1:12" ht="18.75" hidden="1" thickBot="1" x14ac:dyDescent="0.3">
      <c r="A143" s="389" t="s">
        <v>129</v>
      </c>
      <c r="B143" s="390"/>
      <c r="C143" s="390"/>
      <c r="D143" s="390"/>
      <c r="E143" s="390"/>
      <c r="F143" s="390"/>
      <c r="G143" s="390"/>
      <c r="H143" s="390"/>
      <c r="I143" s="390"/>
      <c r="J143" s="390"/>
      <c r="K143" s="391"/>
    </row>
    <row r="144" spans="1:12" ht="15.75" hidden="1" thickBot="1" x14ac:dyDescent="0.3">
      <c r="A144" s="88" t="s">
        <v>63</v>
      </c>
      <c r="B144" s="89" t="s">
        <v>64</v>
      </c>
      <c r="C144" s="89" t="s">
        <v>65</v>
      </c>
      <c r="D144" s="89" t="s">
        <v>66</v>
      </c>
      <c r="E144" s="89" t="s">
        <v>67</v>
      </c>
      <c r="F144" s="89" t="s">
        <v>68</v>
      </c>
      <c r="G144" s="89" t="s">
        <v>69</v>
      </c>
      <c r="H144" s="89" t="s">
        <v>70</v>
      </c>
      <c r="I144" s="90" t="s">
        <v>71</v>
      </c>
      <c r="J144" s="91" t="s">
        <v>72</v>
      </c>
      <c r="K144" s="92" t="s">
        <v>73</v>
      </c>
    </row>
    <row r="145" spans="1:11" hidden="1" x14ac:dyDescent="0.25">
      <c r="A145" s="93" t="s">
        <v>103</v>
      </c>
      <c r="B145" s="93" t="s">
        <v>97</v>
      </c>
      <c r="C145" s="94" t="s">
        <v>87</v>
      </c>
      <c r="D145" s="95" t="s">
        <v>106</v>
      </c>
      <c r="E145" s="96">
        <v>10000000</v>
      </c>
      <c r="F145" s="97">
        <v>1</v>
      </c>
      <c r="G145" s="97">
        <v>1</v>
      </c>
      <c r="H145" s="96">
        <f>F145*G145</f>
        <v>1</v>
      </c>
      <c r="I145" s="96">
        <f>H145*E145</f>
        <v>10000000</v>
      </c>
      <c r="J145" s="98">
        <v>0</v>
      </c>
      <c r="K145" s="96">
        <f>I145-(I145*J145)</f>
        <v>10000000</v>
      </c>
    </row>
    <row r="146" spans="1:11" hidden="1" x14ac:dyDescent="0.25">
      <c r="A146" s="93" t="s">
        <v>103</v>
      </c>
      <c r="B146" s="93" t="s">
        <v>78</v>
      </c>
      <c r="C146" s="94" t="s">
        <v>78</v>
      </c>
      <c r="D146" s="99" t="s">
        <v>80</v>
      </c>
      <c r="E146" s="96" t="e">
        <f>'Tarifas 2026'!#REF!</f>
        <v>#REF!</v>
      </c>
      <c r="F146" s="97">
        <v>1</v>
      </c>
      <c r="G146" s="97">
        <v>1</v>
      </c>
      <c r="H146" s="96">
        <f t="shared" ref="H146:H147" si="2">F146*G146</f>
        <v>1</v>
      </c>
      <c r="I146" s="96" t="e">
        <f>H146*E146</f>
        <v>#REF!</v>
      </c>
      <c r="J146" s="98">
        <v>0.3</v>
      </c>
      <c r="K146" s="96" t="e">
        <f t="shared" ref="K146:K147" si="3">I146-(I146*J146)</f>
        <v>#REF!</v>
      </c>
    </row>
    <row r="147" spans="1:11" ht="15.75" hidden="1" thickBot="1" x14ac:dyDescent="0.3">
      <c r="A147" s="93" t="s">
        <v>103</v>
      </c>
      <c r="B147" s="93" t="s">
        <v>78</v>
      </c>
      <c r="C147" s="94" t="s">
        <v>78</v>
      </c>
      <c r="D147" s="99" t="s">
        <v>104</v>
      </c>
      <c r="E147" s="96" t="e">
        <f>'Tarifas 2026'!#REF!</f>
        <v>#REF!</v>
      </c>
      <c r="F147" s="97">
        <v>1</v>
      </c>
      <c r="G147" s="97">
        <v>1</v>
      </c>
      <c r="H147" s="96">
        <f t="shared" si="2"/>
        <v>1</v>
      </c>
      <c r="I147" s="96" t="e">
        <f>H147*E147</f>
        <v>#REF!</v>
      </c>
      <c r="J147" s="98">
        <v>0.19624060150375941</v>
      </c>
      <c r="K147" s="96" t="e">
        <f t="shared" si="3"/>
        <v>#REF!</v>
      </c>
    </row>
    <row r="148" spans="1:11" ht="15.75" hidden="1" x14ac:dyDescent="0.25">
      <c r="A148" s="44"/>
      <c r="B148" s="44"/>
      <c r="C148" s="44"/>
      <c r="D148" s="44"/>
      <c r="E148" s="44"/>
      <c r="F148" s="44"/>
      <c r="G148" s="44"/>
      <c r="H148" s="44"/>
      <c r="I148" s="45" t="e">
        <f>SUM(I145:I147)</f>
        <v>#REF!</v>
      </c>
      <c r="J148" s="62"/>
      <c r="K148" s="46" t="e">
        <f>SUM(K145:K147)</f>
        <v>#REF!</v>
      </c>
    </row>
    <row r="149" spans="1:11" hidden="1" x14ac:dyDescent="0.25"/>
    <row r="151" spans="1:11" ht="15.75" thickBot="1" x14ac:dyDescent="0.3"/>
    <row r="152" spans="1:11" ht="18.75" thickBot="1" x14ac:dyDescent="0.3">
      <c r="A152" s="379" t="s">
        <v>298</v>
      </c>
      <c r="B152" s="380"/>
      <c r="C152" s="380"/>
      <c r="D152" s="380"/>
      <c r="E152" s="380"/>
      <c r="F152" s="380"/>
      <c r="G152" s="380"/>
      <c r="H152" s="380"/>
      <c r="I152" s="380"/>
      <c r="J152" s="380"/>
      <c r="K152" s="381"/>
    </row>
    <row r="153" spans="1:11" ht="15.75" thickBot="1" x14ac:dyDescent="0.3">
      <c r="A153" s="160" t="s">
        <v>63</v>
      </c>
      <c r="B153" s="161" t="s">
        <v>64</v>
      </c>
      <c r="C153" s="161" t="s">
        <v>65</v>
      </c>
      <c r="D153" s="161" t="s">
        <v>66</v>
      </c>
      <c r="E153" s="161" t="s">
        <v>67</v>
      </c>
      <c r="F153" s="161" t="s">
        <v>68</v>
      </c>
      <c r="G153" s="161" t="s">
        <v>69</v>
      </c>
      <c r="H153" s="161" t="s">
        <v>70</v>
      </c>
      <c r="I153" s="162" t="s">
        <v>71</v>
      </c>
      <c r="J153" s="172" t="s">
        <v>72</v>
      </c>
      <c r="K153" s="163" t="s">
        <v>73</v>
      </c>
    </row>
    <row r="154" spans="1:11" x14ac:dyDescent="0.25">
      <c r="A154" s="37" t="s">
        <v>103</v>
      </c>
      <c r="B154" s="37" t="s">
        <v>78</v>
      </c>
      <c r="C154" s="70" t="s">
        <v>78</v>
      </c>
      <c r="D154" s="39" t="s">
        <v>106</v>
      </c>
      <c r="E154" s="40">
        <v>7000000</v>
      </c>
      <c r="F154" s="41">
        <v>1</v>
      </c>
      <c r="G154" s="41">
        <v>1</v>
      </c>
      <c r="H154" s="40">
        <f t="shared" ref="H154:H156" si="4">F154*G154</f>
        <v>1</v>
      </c>
      <c r="I154" s="40">
        <f>H154*E154</f>
        <v>7000000</v>
      </c>
      <c r="J154" s="61">
        <v>0.13057142857142856</v>
      </c>
      <c r="K154" s="40">
        <f t="shared" ref="K154:K156" si="5">I154-(I154*J154)</f>
        <v>6086000</v>
      </c>
    </row>
    <row r="155" spans="1:11" x14ac:dyDescent="0.25">
      <c r="A155" s="37" t="s">
        <v>103</v>
      </c>
      <c r="B155" s="37" t="s">
        <v>78</v>
      </c>
      <c r="C155" s="70" t="s">
        <v>78</v>
      </c>
      <c r="D155" s="43" t="s">
        <v>80</v>
      </c>
      <c r="E155" s="40">
        <f>'Tarifas 2026'!C121</f>
        <v>4600000</v>
      </c>
      <c r="F155" s="41">
        <v>1</v>
      </c>
      <c r="G155" s="41">
        <v>1</v>
      </c>
      <c r="H155" s="40">
        <f t="shared" si="4"/>
        <v>1</v>
      </c>
      <c r="I155" s="40">
        <f>H155*E155</f>
        <v>4600000</v>
      </c>
      <c r="J155" s="61">
        <v>0.38</v>
      </c>
      <c r="K155" s="40">
        <f t="shared" si="5"/>
        <v>2852000</v>
      </c>
    </row>
    <row r="156" spans="1:11" ht="15.75" thickBot="1" x14ac:dyDescent="0.3">
      <c r="A156" s="37" t="s">
        <v>103</v>
      </c>
      <c r="B156" s="37" t="s">
        <v>78</v>
      </c>
      <c r="C156" s="70" t="s">
        <v>78</v>
      </c>
      <c r="D156" s="43" t="s">
        <v>104</v>
      </c>
      <c r="E156" s="40">
        <f>'Tarifas 2026'!C136</f>
        <v>7400000</v>
      </c>
      <c r="F156" s="41">
        <v>1</v>
      </c>
      <c r="G156" s="41">
        <v>1</v>
      </c>
      <c r="H156" s="40">
        <f t="shared" si="4"/>
        <v>1</v>
      </c>
      <c r="I156" s="40">
        <f>H156*E156</f>
        <v>7400000</v>
      </c>
      <c r="J156" s="61">
        <v>0.37</v>
      </c>
      <c r="K156" s="40">
        <f t="shared" si="5"/>
        <v>4662000</v>
      </c>
    </row>
    <row r="157" spans="1:11" ht="15.75" x14ac:dyDescent="0.25">
      <c r="A157" s="44"/>
      <c r="B157" s="44"/>
      <c r="C157" s="44"/>
      <c r="D157" s="44"/>
      <c r="E157" s="44"/>
      <c r="F157" s="44"/>
      <c r="G157" s="44"/>
      <c r="H157" s="44"/>
      <c r="I157" s="45">
        <f>SUM(I154:I156)</f>
        <v>19000000</v>
      </c>
      <c r="J157" s="62"/>
      <c r="K157" s="46">
        <f>SUM(K154:K156)</f>
        <v>13600000</v>
      </c>
    </row>
  </sheetData>
  <mergeCells count="22">
    <mergeCell ref="A86:K86"/>
    <mergeCell ref="A94:K94"/>
    <mergeCell ref="A122:K122"/>
    <mergeCell ref="A130:K130"/>
    <mergeCell ref="A51:K51"/>
    <mergeCell ref="A58:K58"/>
    <mergeCell ref="A152:K152"/>
    <mergeCell ref="A37:K37"/>
    <mergeCell ref="A1:K1"/>
    <mergeCell ref="A8:K8"/>
    <mergeCell ref="A15:K15"/>
    <mergeCell ref="A22:K22"/>
    <mergeCell ref="A30:K30"/>
    <mergeCell ref="A114:K114"/>
    <mergeCell ref="A136:K136"/>
    <mergeCell ref="A143:K143"/>
    <mergeCell ref="A44:K44"/>
    <mergeCell ref="A64:K64"/>
    <mergeCell ref="A71:K71"/>
    <mergeCell ref="A78:K78"/>
    <mergeCell ref="A100:K100"/>
    <mergeCell ref="A107:K1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8580-6514-4FE2-9751-63FD68BE9836}">
  <dimension ref="A1:M272"/>
  <sheetViews>
    <sheetView showGridLines="0" zoomScale="93" zoomScaleNormal="93" workbookViewId="0">
      <selection activeCell="N25" sqref="N25"/>
    </sheetView>
  </sheetViews>
  <sheetFormatPr baseColWidth="10" defaultColWidth="9.140625" defaultRowHeight="15" x14ac:dyDescent="0.25"/>
  <cols>
    <col min="1" max="1" width="16.140625" customWidth="1"/>
    <col min="2" max="2" width="12.42578125" customWidth="1"/>
    <col min="3" max="3" width="18.28515625" bestFit="1" customWidth="1"/>
    <col min="4" max="4" width="43.7109375" customWidth="1"/>
    <col min="5" max="5" width="11.7109375" bestFit="1" customWidth="1"/>
    <col min="9" max="9" width="23.7109375" customWidth="1"/>
    <col min="11" max="11" width="24.85546875" customWidth="1"/>
    <col min="12" max="12" width="14.5703125" hidden="1" customWidth="1"/>
    <col min="13" max="13" width="12.7109375" hidden="1" customWidth="1"/>
  </cols>
  <sheetData>
    <row r="1" spans="1:13" ht="18.75" thickBot="1" x14ac:dyDescent="0.3">
      <c r="A1" s="399" t="s">
        <v>84</v>
      </c>
      <c r="B1" s="394"/>
      <c r="C1" s="394"/>
      <c r="D1" s="394"/>
      <c r="E1" s="394"/>
      <c r="F1" s="394"/>
      <c r="G1" s="394"/>
      <c r="H1" s="394"/>
      <c r="I1" s="394"/>
      <c r="J1" s="394"/>
      <c r="K1" s="395"/>
    </row>
    <row r="2" spans="1:13" ht="15.75" thickBot="1" x14ac:dyDescent="0.3">
      <c r="A2" s="33" t="s">
        <v>63</v>
      </c>
      <c r="B2" s="34" t="s">
        <v>64</v>
      </c>
      <c r="C2" s="34" t="s">
        <v>65</v>
      </c>
      <c r="D2" s="34" t="s">
        <v>66</v>
      </c>
      <c r="E2" s="34" t="s">
        <v>67</v>
      </c>
      <c r="F2" s="34" t="s">
        <v>68</v>
      </c>
      <c r="G2" s="34" t="s">
        <v>69</v>
      </c>
      <c r="H2" s="34" t="s">
        <v>70</v>
      </c>
      <c r="I2" s="35" t="s">
        <v>71</v>
      </c>
      <c r="J2" s="34" t="s">
        <v>72</v>
      </c>
      <c r="K2" s="36" t="s">
        <v>73</v>
      </c>
      <c r="L2" s="48">
        <v>0.14000000000000001</v>
      </c>
      <c r="M2" s="48">
        <v>0.1</v>
      </c>
    </row>
    <row r="3" spans="1:13" x14ac:dyDescent="0.25">
      <c r="A3" s="37" t="s">
        <v>74</v>
      </c>
      <c r="B3" s="37" t="s">
        <v>75</v>
      </c>
      <c r="C3" s="38" t="s">
        <v>76</v>
      </c>
      <c r="D3" s="39" t="s">
        <v>77</v>
      </c>
      <c r="E3" s="40">
        <f>M3</f>
        <v>6188600</v>
      </c>
      <c r="F3" s="41">
        <v>1</v>
      </c>
      <c r="G3" s="41">
        <v>1</v>
      </c>
      <c r="H3" s="40">
        <f>F3*G3</f>
        <v>1</v>
      </c>
      <c r="I3" s="40">
        <f>H3*E3</f>
        <v>6188600</v>
      </c>
      <c r="J3" s="42">
        <v>0.69549273111680732</v>
      </c>
      <c r="K3" s="40">
        <f>I3-(I3*J3)</f>
        <v>1884473.6842105258</v>
      </c>
      <c r="L3" s="29"/>
      <c r="M3" s="29">
        <f>5626000+(5626000*M2)</f>
        <v>6188600</v>
      </c>
    </row>
    <row r="4" spans="1:13" x14ac:dyDescent="0.25">
      <c r="A4" s="37" t="s">
        <v>74</v>
      </c>
      <c r="B4" s="37" t="s">
        <v>78</v>
      </c>
      <c r="C4" s="38" t="s">
        <v>78</v>
      </c>
      <c r="D4" s="39" t="s">
        <v>79</v>
      </c>
      <c r="E4" s="200">
        <f>L4</f>
        <v>2280000</v>
      </c>
      <c r="F4" s="41">
        <v>1</v>
      </c>
      <c r="G4" s="41">
        <v>1</v>
      </c>
      <c r="H4" s="40">
        <f t="shared" ref="H4:H6" si="0">F4*G4</f>
        <v>1</v>
      </c>
      <c r="I4" s="40">
        <f>H4*E4</f>
        <v>2280000</v>
      </c>
      <c r="J4" s="42">
        <v>0</v>
      </c>
      <c r="K4" s="40">
        <f t="shared" ref="K4:K6" si="1">I4-(I4*J4)</f>
        <v>2280000</v>
      </c>
      <c r="L4" s="29">
        <f>2000000+(2000000*L2)</f>
        <v>2280000</v>
      </c>
    </row>
    <row r="5" spans="1:13" x14ac:dyDescent="0.25">
      <c r="A5" s="37" t="s">
        <v>74</v>
      </c>
      <c r="B5" s="37" t="s">
        <v>78</v>
      </c>
      <c r="C5" s="38" t="s">
        <v>78</v>
      </c>
      <c r="D5" s="43" t="s">
        <v>80</v>
      </c>
      <c r="E5" s="40">
        <v>9000000</v>
      </c>
      <c r="F5" s="41">
        <v>1</v>
      </c>
      <c r="G5" s="41">
        <v>1</v>
      </c>
      <c r="H5" s="40">
        <f t="shared" si="0"/>
        <v>1</v>
      </c>
      <c r="I5" s="40">
        <f>H5*E5</f>
        <v>9000000</v>
      </c>
      <c r="J5" s="42">
        <v>0.45</v>
      </c>
      <c r="K5" s="40">
        <f t="shared" si="1"/>
        <v>4950000</v>
      </c>
      <c r="L5" s="29">
        <f>7800000+(7800000*L2)</f>
        <v>8892000</v>
      </c>
    </row>
    <row r="6" spans="1:13" ht="15.75" thickBot="1" x14ac:dyDescent="0.3">
      <c r="A6" s="37" t="s">
        <v>74</v>
      </c>
      <c r="B6" s="37" t="s">
        <v>78</v>
      </c>
      <c r="C6" s="38" t="s">
        <v>78</v>
      </c>
      <c r="D6" s="43" t="s">
        <v>81</v>
      </c>
      <c r="E6" s="40">
        <v>15100000</v>
      </c>
      <c r="F6" s="41">
        <v>1</v>
      </c>
      <c r="G6" s="41">
        <v>1</v>
      </c>
      <c r="H6" s="40">
        <f t="shared" si="0"/>
        <v>1</v>
      </c>
      <c r="I6" s="40">
        <f>H6*E6</f>
        <v>15100000</v>
      </c>
      <c r="J6" s="42">
        <v>0.45128964796096199</v>
      </c>
      <c r="K6" s="40">
        <f t="shared" si="1"/>
        <v>8285526.3157894742</v>
      </c>
      <c r="L6" s="29">
        <f>13200000+(13200000*L2)</f>
        <v>15048000</v>
      </c>
    </row>
    <row r="7" spans="1:13" ht="15.75" x14ac:dyDescent="0.25">
      <c r="A7" s="44"/>
      <c r="B7" s="44"/>
      <c r="C7" s="44"/>
      <c r="D7" s="44"/>
      <c r="E7" s="44"/>
      <c r="F7" s="44"/>
      <c r="G7" s="44"/>
      <c r="H7" s="44"/>
      <c r="I7" s="45">
        <f>SUM(I3:I6)</f>
        <v>32568600</v>
      </c>
      <c r="J7" s="44"/>
      <c r="K7" s="46">
        <f>SUM(K3:K6)</f>
        <v>17400000</v>
      </c>
      <c r="L7" s="47"/>
      <c r="M7" s="47"/>
    </row>
    <row r="9" spans="1:13" ht="18.75" thickBot="1" x14ac:dyDescent="0.3">
      <c r="A9" s="393" t="s">
        <v>85</v>
      </c>
      <c r="B9" s="394"/>
      <c r="C9" s="394"/>
      <c r="D9" s="394"/>
      <c r="E9" s="394"/>
      <c r="F9" s="394"/>
      <c r="G9" s="394"/>
      <c r="H9" s="394"/>
      <c r="I9" s="394"/>
      <c r="J9" s="394"/>
      <c r="K9" s="395"/>
    </row>
    <row r="10" spans="1:13" ht="15.75" thickBot="1" x14ac:dyDescent="0.3">
      <c r="A10" s="33" t="s">
        <v>63</v>
      </c>
      <c r="B10" s="34" t="s">
        <v>64</v>
      </c>
      <c r="C10" s="34" t="s">
        <v>65</v>
      </c>
      <c r="D10" s="34" t="s">
        <v>66</v>
      </c>
      <c r="E10" s="34" t="s">
        <v>67</v>
      </c>
      <c r="F10" s="34" t="s">
        <v>68</v>
      </c>
      <c r="G10" s="34" t="s">
        <v>69</v>
      </c>
      <c r="H10" s="34" t="s">
        <v>70</v>
      </c>
      <c r="I10" s="35" t="s">
        <v>71</v>
      </c>
      <c r="J10" s="34" t="s">
        <v>72</v>
      </c>
      <c r="K10" s="36" t="s">
        <v>73</v>
      </c>
      <c r="L10" s="48">
        <v>0.14000000000000001</v>
      </c>
      <c r="M10" s="48">
        <v>0.1</v>
      </c>
    </row>
    <row r="11" spans="1:13" x14ac:dyDescent="0.25">
      <c r="A11" s="37" t="s">
        <v>74</v>
      </c>
      <c r="B11" s="37" t="s">
        <v>75</v>
      </c>
      <c r="C11" s="38" t="s">
        <v>76</v>
      </c>
      <c r="D11" s="39" t="s">
        <v>77</v>
      </c>
      <c r="E11" s="40">
        <f>M11</f>
        <v>6188600</v>
      </c>
      <c r="F11" s="41">
        <v>1</v>
      </c>
      <c r="G11" s="41">
        <v>1</v>
      </c>
      <c r="H11" s="40">
        <f>F11*G11</f>
        <v>1</v>
      </c>
      <c r="I11" s="40">
        <f>H11*E11</f>
        <v>6188600</v>
      </c>
      <c r="J11" s="42">
        <v>0.70110576833124394</v>
      </c>
      <c r="K11" s="40">
        <f>I11-(I11*J11)</f>
        <v>1849736.8421052638</v>
      </c>
      <c r="L11" s="29"/>
      <c r="M11" s="29">
        <f>5626000+(5626000*M10)</f>
        <v>6188600</v>
      </c>
    </row>
    <row r="12" spans="1:13" x14ac:dyDescent="0.25">
      <c r="A12" s="37" t="s">
        <v>74</v>
      </c>
      <c r="B12" s="37" t="s">
        <v>78</v>
      </c>
      <c r="C12" s="38" t="s">
        <v>78</v>
      </c>
      <c r="D12" s="39" t="s">
        <v>79</v>
      </c>
      <c r="E12" s="200">
        <f>L12</f>
        <v>2280000</v>
      </c>
      <c r="F12" s="41">
        <v>1</v>
      </c>
      <c r="G12" s="41">
        <v>1</v>
      </c>
      <c r="H12" s="40">
        <f t="shared" ref="H12:H15" si="2">F12*G12</f>
        <v>1</v>
      </c>
      <c r="I12" s="40">
        <f>H12*E12</f>
        <v>2280000</v>
      </c>
      <c r="J12" s="42">
        <v>0</v>
      </c>
      <c r="K12" s="40">
        <f t="shared" ref="K12:K15" si="3">I12-(I12*J12)</f>
        <v>2280000</v>
      </c>
      <c r="L12" s="29">
        <f>2000000+(2000000*L10)</f>
        <v>2280000</v>
      </c>
    </row>
    <row r="13" spans="1:13" x14ac:dyDescent="0.25">
      <c r="A13" s="37" t="s">
        <v>74</v>
      </c>
      <c r="B13" s="37" t="s">
        <v>78</v>
      </c>
      <c r="C13" s="38" t="s">
        <v>78</v>
      </c>
      <c r="D13" s="43" t="s">
        <v>80</v>
      </c>
      <c r="E13" s="40">
        <v>9000000</v>
      </c>
      <c r="F13" s="41">
        <v>1</v>
      </c>
      <c r="G13" s="41">
        <v>1</v>
      </c>
      <c r="H13" s="40">
        <f t="shared" si="2"/>
        <v>1</v>
      </c>
      <c r="I13" s="40">
        <f>H13*E13</f>
        <v>9000000</v>
      </c>
      <c r="J13" s="42">
        <v>0.45</v>
      </c>
      <c r="K13" s="40">
        <f t="shared" si="3"/>
        <v>4950000</v>
      </c>
      <c r="L13" s="29">
        <f>7800000+(7800000*L10)</f>
        <v>8892000</v>
      </c>
    </row>
    <row r="14" spans="1:13" x14ac:dyDescent="0.25">
      <c r="A14" s="37" t="s">
        <v>74</v>
      </c>
      <c r="B14" s="37" t="s">
        <v>78</v>
      </c>
      <c r="C14" s="38" t="s">
        <v>78</v>
      </c>
      <c r="D14" s="43" t="s">
        <v>81</v>
      </c>
      <c r="E14" s="40">
        <v>15100000</v>
      </c>
      <c r="F14" s="41">
        <v>1</v>
      </c>
      <c r="G14" s="41">
        <v>1</v>
      </c>
      <c r="H14" s="40">
        <f t="shared" si="2"/>
        <v>1</v>
      </c>
      <c r="I14" s="40">
        <f>H14*E14</f>
        <v>15100000</v>
      </c>
      <c r="J14" s="42">
        <v>0.45582781456953642</v>
      </c>
      <c r="K14" s="40">
        <f t="shared" si="3"/>
        <v>8217000</v>
      </c>
      <c r="L14" s="29">
        <f>13200000+(13200000*L10)</f>
        <v>15048000</v>
      </c>
    </row>
    <row r="15" spans="1:13" ht="15.75" thickBot="1" x14ac:dyDescent="0.3">
      <c r="A15" s="37" t="s">
        <v>74</v>
      </c>
      <c r="B15" s="37" t="s">
        <v>78</v>
      </c>
      <c r="C15" s="38" t="s">
        <v>78</v>
      </c>
      <c r="D15" s="39" t="s">
        <v>82</v>
      </c>
      <c r="E15" s="200">
        <f>L15</f>
        <v>2736000</v>
      </c>
      <c r="F15" s="41">
        <v>1</v>
      </c>
      <c r="G15" s="41">
        <v>1</v>
      </c>
      <c r="H15" s="40">
        <f t="shared" si="2"/>
        <v>1</v>
      </c>
      <c r="I15" s="40">
        <f>H15*E15</f>
        <v>2736000</v>
      </c>
      <c r="J15" s="42">
        <v>1.1965220067712713E-2</v>
      </c>
      <c r="K15" s="40">
        <f t="shared" si="3"/>
        <v>2703263.157894738</v>
      </c>
      <c r="L15" s="29">
        <f>2400000+(2400000*L10)</f>
        <v>2736000</v>
      </c>
    </row>
    <row r="16" spans="1:13" ht="15.75" x14ac:dyDescent="0.25">
      <c r="A16" s="44"/>
      <c r="B16" s="44"/>
      <c r="C16" s="44"/>
      <c r="D16" s="44"/>
      <c r="E16" s="44"/>
      <c r="F16" s="44"/>
      <c r="G16" s="44"/>
      <c r="H16" s="44"/>
      <c r="I16" s="45">
        <f>SUM(I11:I15)</f>
        <v>35304600</v>
      </c>
      <c r="J16" s="44"/>
      <c r="K16" s="46">
        <f>SUM(K11:K15)</f>
        <v>20000000</v>
      </c>
    </row>
    <row r="18" spans="1:13" ht="18.75" thickBot="1" x14ac:dyDescent="0.3">
      <c r="A18" s="393" t="s">
        <v>86</v>
      </c>
      <c r="B18" s="394"/>
      <c r="C18" s="394"/>
      <c r="D18" s="394"/>
      <c r="E18" s="394"/>
      <c r="F18" s="394"/>
      <c r="G18" s="394"/>
      <c r="H18" s="394"/>
      <c r="I18" s="394"/>
      <c r="J18" s="394"/>
      <c r="K18" s="395"/>
    </row>
    <row r="19" spans="1:13" ht="15.75" thickBot="1" x14ac:dyDescent="0.3">
      <c r="A19" s="33" t="s">
        <v>63</v>
      </c>
      <c r="B19" s="34" t="s">
        <v>64</v>
      </c>
      <c r="C19" s="34" t="s">
        <v>65</v>
      </c>
      <c r="D19" s="34" t="s">
        <v>66</v>
      </c>
      <c r="E19" s="34" t="s">
        <v>67</v>
      </c>
      <c r="F19" s="34" t="s">
        <v>68</v>
      </c>
      <c r="G19" s="34" t="s">
        <v>69</v>
      </c>
      <c r="H19" s="34" t="s">
        <v>70</v>
      </c>
      <c r="I19" s="35" t="s">
        <v>71</v>
      </c>
      <c r="J19" s="34" t="s">
        <v>72</v>
      </c>
      <c r="K19" s="36" t="s">
        <v>73</v>
      </c>
      <c r="L19" s="48">
        <v>0.14000000000000001</v>
      </c>
      <c r="M19" s="48">
        <v>0.1</v>
      </c>
    </row>
    <row r="20" spans="1:13" x14ac:dyDescent="0.25">
      <c r="A20" s="37" t="s">
        <v>74</v>
      </c>
      <c r="B20" s="37" t="s">
        <v>75</v>
      </c>
      <c r="C20" s="38" t="s">
        <v>76</v>
      </c>
      <c r="D20" s="39" t="s">
        <v>77</v>
      </c>
      <c r="E20" s="40">
        <f>M20</f>
        <v>6188600</v>
      </c>
      <c r="F20" s="41">
        <v>1</v>
      </c>
      <c r="G20" s="41">
        <v>1</v>
      </c>
      <c r="H20" s="40">
        <f>F20*G20</f>
        <v>1</v>
      </c>
      <c r="I20" s="40">
        <f>H20*E20</f>
        <v>6188600</v>
      </c>
      <c r="J20" s="42">
        <v>0.69798741432322364</v>
      </c>
      <c r="K20" s="40">
        <f>I20-(I20*J20)</f>
        <v>1869035.087719298</v>
      </c>
      <c r="L20" s="29"/>
      <c r="M20" s="29">
        <f>5626000+(5626000*M19)</f>
        <v>6188600</v>
      </c>
    </row>
    <row r="21" spans="1:13" x14ac:dyDescent="0.25">
      <c r="A21" s="37" t="s">
        <v>74</v>
      </c>
      <c r="B21" s="37" t="s">
        <v>78</v>
      </c>
      <c r="C21" s="38" t="s">
        <v>78</v>
      </c>
      <c r="D21" s="39" t="s">
        <v>79</v>
      </c>
      <c r="E21" s="200">
        <f>L21</f>
        <v>2280000</v>
      </c>
      <c r="F21" s="41">
        <v>1</v>
      </c>
      <c r="G21" s="41">
        <v>1</v>
      </c>
      <c r="H21" s="40">
        <f t="shared" ref="H21:H24" si="4">F21*G21</f>
        <v>1</v>
      </c>
      <c r="I21" s="40">
        <f>H21*E21</f>
        <v>2280000</v>
      </c>
      <c r="J21" s="42">
        <v>0</v>
      </c>
      <c r="K21" s="40">
        <f t="shared" ref="K21:K24" si="5">I21-(I21*J21)</f>
        <v>2280000</v>
      </c>
      <c r="L21" s="29">
        <f>2000000+(2000000*L19)</f>
        <v>2280000</v>
      </c>
    </row>
    <row r="22" spans="1:13" x14ac:dyDescent="0.25">
      <c r="A22" s="37" t="s">
        <v>74</v>
      </c>
      <c r="B22" s="37" t="s">
        <v>78</v>
      </c>
      <c r="C22" s="38" t="s">
        <v>78</v>
      </c>
      <c r="D22" s="43" t="s">
        <v>80</v>
      </c>
      <c r="E22" s="40">
        <v>9000000</v>
      </c>
      <c r="F22" s="41">
        <v>1</v>
      </c>
      <c r="G22" s="41">
        <v>1</v>
      </c>
      <c r="H22" s="40">
        <f t="shared" si="4"/>
        <v>1</v>
      </c>
      <c r="I22" s="40">
        <f>H22*E22</f>
        <v>9000000</v>
      </c>
      <c r="J22" s="42">
        <v>0.45</v>
      </c>
      <c r="K22" s="40">
        <f t="shared" si="5"/>
        <v>4950000</v>
      </c>
      <c r="L22" s="29">
        <f>7800000+(7800000*L19)</f>
        <v>8892000</v>
      </c>
    </row>
    <row r="23" spans="1:13" x14ac:dyDescent="0.25">
      <c r="A23" s="37" t="s">
        <v>74</v>
      </c>
      <c r="B23" s="37" t="s">
        <v>78</v>
      </c>
      <c r="C23" s="38" t="s">
        <v>78</v>
      </c>
      <c r="D23" s="43" t="s">
        <v>81</v>
      </c>
      <c r="E23" s="40">
        <v>15100000</v>
      </c>
      <c r="F23" s="41">
        <v>1</v>
      </c>
      <c r="G23" s="41">
        <v>1</v>
      </c>
      <c r="H23" s="40">
        <f t="shared" si="4"/>
        <v>1</v>
      </c>
      <c r="I23" s="40">
        <f>H23*E23</f>
        <v>15100000</v>
      </c>
      <c r="J23" s="42">
        <v>0.45582781456953642</v>
      </c>
      <c r="K23" s="40">
        <f t="shared" si="5"/>
        <v>8217000</v>
      </c>
      <c r="L23" s="29">
        <f>13200000+(13200000*L19)</f>
        <v>15048000</v>
      </c>
    </row>
    <row r="24" spans="1:13" ht="15.75" thickBot="1" x14ac:dyDescent="0.3">
      <c r="A24" s="37" t="s">
        <v>74</v>
      </c>
      <c r="B24" s="37" t="s">
        <v>78</v>
      </c>
      <c r="C24" s="38" t="s">
        <v>78</v>
      </c>
      <c r="D24" s="39" t="s">
        <v>83</v>
      </c>
      <c r="E24" s="40">
        <f>L24</f>
        <v>5016000</v>
      </c>
      <c r="F24" s="41">
        <v>1</v>
      </c>
      <c r="G24" s="41">
        <v>1</v>
      </c>
      <c r="H24" s="40">
        <f t="shared" si="4"/>
        <v>1</v>
      </c>
      <c r="I24" s="40">
        <f>H24*E24</f>
        <v>5016000</v>
      </c>
      <c r="J24" s="42">
        <v>6.3865804863036087E-3</v>
      </c>
      <c r="K24" s="40">
        <f t="shared" si="5"/>
        <v>4983964.9122807011</v>
      </c>
      <c r="L24" s="29">
        <f>4400000+(4400000*L19)</f>
        <v>5016000</v>
      </c>
    </row>
    <row r="25" spans="1:13" ht="15.75" x14ac:dyDescent="0.25">
      <c r="A25" s="44"/>
      <c r="B25" s="44"/>
      <c r="C25" s="44"/>
      <c r="D25" s="44"/>
      <c r="E25" s="44"/>
      <c r="F25" s="44"/>
      <c r="G25" s="44"/>
      <c r="H25" s="44"/>
      <c r="I25" s="45">
        <f>SUM(I20:I24)</f>
        <v>37584600</v>
      </c>
      <c r="J25" s="44"/>
      <c r="K25" s="46">
        <f>SUM(K20:K24)</f>
        <v>22300000</v>
      </c>
    </row>
    <row r="27" spans="1:13" ht="18.75" hidden="1" thickBot="1" x14ac:dyDescent="0.3">
      <c r="A27" s="396" t="s">
        <v>194</v>
      </c>
      <c r="B27" s="397"/>
      <c r="C27" s="397"/>
      <c r="D27" s="397"/>
      <c r="E27" s="397"/>
      <c r="F27" s="397"/>
      <c r="G27" s="397"/>
      <c r="H27" s="397"/>
      <c r="I27" s="397"/>
      <c r="J27" s="397"/>
      <c r="K27" s="398"/>
    </row>
    <row r="28" spans="1:13" ht="15.75" hidden="1" thickBot="1" x14ac:dyDescent="0.3">
      <c r="A28" s="134" t="s">
        <v>63</v>
      </c>
      <c r="B28" s="135" t="s">
        <v>64</v>
      </c>
      <c r="C28" s="135" t="s">
        <v>65</v>
      </c>
      <c r="D28" s="135" t="s">
        <v>66</v>
      </c>
      <c r="E28" s="135" t="s">
        <v>67</v>
      </c>
      <c r="F28" s="135" t="s">
        <v>68</v>
      </c>
      <c r="G28" s="135" t="s">
        <v>69</v>
      </c>
      <c r="H28" s="135" t="s">
        <v>70</v>
      </c>
      <c r="I28" s="136" t="s">
        <v>71</v>
      </c>
      <c r="J28" s="137" t="s">
        <v>72</v>
      </c>
      <c r="K28" s="138" t="s">
        <v>73</v>
      </c>
    </row>
    <row r="29" spans="1:13" hidden="1" x14ac:dyDescent="0.25">
      <c r="A29" s="37" t="s">
        <v>11</v>
      </c>
      <c r="B29" s="37" t="s">
        <v>97</v>
      </c>
      <c r="C29" s="139" t="s">
        <v>87</v>
      </c>
      <c r="D29" s="39" t="s">
        <v>98</v>
      </c>
      <c r="E29" s="40">
        <v>6188600</v>
      </c>
      <c r="F29" s="41">
        <v>1</v>
      </c>
      <c r="G29" s="41">
        <v>1</v>
      </c>
      <c r="H29" s="40">
        <f>F29*G29</f>
        <v>1</v>
      </c>
      <c r="I29" s="40">
        <f>H29*E29</f>
        <v>6188600</v>
      </c>
      <c r="J29" s="61">
        <v>0.8</v>
      </c>
      <c r="K29" s="40">
        <f>I29-(I29*J29)</f>
        <v>1237720</v>
      </c>
    </row>
    <row r="30" spans="1:13" hidden="1" x14ac:dyDescent="0.25">
      <c r="A30" s="37" t="s">
        <v>11</v>
      </c>
      <c r="B30" s="37" t="s">
        <v>78</v>
      </c>
      <c r="C30" s="139" t="s">
        <v>78</v>
      </c>
      <c r="D30" s="39" t="s">
        <v>79</v>
      </c>
      <c r="E30" s="40">
        <v>2280000</v>
      </c>
      <c r="F30" s="41">
        <v>1</v>
      </c>
      <c r="G30" s="41">
        <v>1</v>
      </c>
      <c r="H30" s="40">
        <f t="shared" ref="H30:H33" si="6">F30*G30</f>
        <v>1</v>
      </c>
      <c r="I30" s="40">
        <f>H30*E30</f>
        <v>2280000</v>
      </c>
      <c r="J30" s="61">
        <v>0</v>
      </c>
      <c r="K30" s="40">
        <f t="shared" ref="K30:K33" si="7">I30-(I30*J30)</f>
        <v>2280000</v>
      </c>
    </row>
    <row r="31" spans="1:13" hidden="1" x14ac:dyDescent="0.25">
      <c r="A31" s="37" t="s">
        <v>11</v>
      </c>
      <c r="B31" s="37" t="s">
        <v>78</v>
      </c>
      <c r="C31" s="139" t="s">
        <v>78</v>
      </c>
      <c r="D31" s="43" t="s">
        <v>80</v>
      </c>
      <c r="E31" s="40">
        <v>8892000</v>
      </c>
      <c r="F31" s="41">
        <v>1</v>
      </c>
      <c r="G31" s="41">
        <v>1</v>
      </c>
      <c r="H31" s="40">
        <f t="shared" si="6"/>
        <v>1</v>
      </c>
      <c r="I31" s="40">
        <f>H31*E31</f>
        <v>8892000</v>
      </c>
      <c r="J31" s="61">
        <v>0.35</v>
      </c>
      <c r="K31" s="40">
        <f t="shared" si="7"/>
        <v>5779800</v>
      </c>
    </row>
    <row r="32" spans="1:13" hidden="1" x14ac:dyDescent="0.25">
      <c r="A32" s="37" t="s">
        <v>11</v>
      </c>
      <c r="B32" s="37" t="s">
        <v>78</v>
      </c>
      <c r="C32" s="139" t="s">
        <v>78</v>
      </c>
      <c r="D32" s="43" t="s">
        <v>81</v>
      </c>
      <c r="E32" s="40">
        <v>15048000</v>
      </c>
      <c r="F32" s="41">
        <v>1</v>
      </c>
      <c r="G32" s="41">
        <v>1</v>
      </c>
      <c r="H32" s="40">
        <f t="shared" si="6"/>
        <v>1</v>
      </c>
      <c r="I32" s="40">
        <f>H32*E32</f>
        <v>15048000</v>
      </c>
      <c r="J32" s="61">
        <v>0.35</v>
      </c>
      <c r="K32" s="40">
        <f t="shared" si="7"/>
        <v>9781200</v>
      </c>
    </row>
    <row r="33" spans="1:13" ht="15.75" hidden="1" thickBot="1" x14ac:dyDescent="0.3">
      <c r="A33" s="37" t="s">
        <v>11</v>
      </c>
      <c r="B33" s="37" t="s">
        <v>78</v>
      </c>
      <c r="C33" s="139" t="s">
        <v>78</v>
      </c>
      <c r="D33" s="39" t="s">
        <v>185</v>
      </c>
      <c r="E33" s="40">
        <v>8000000</v>
      </c>
      <c r="F33" s="41">
        <v>1</v>
      </c>
      <c r="G33" s="41">
        <v>1</v>
      </c>
      <c r="H33" s="40">
        <f t="shared" si="6"/>
        <v>1</v>
      </c>
      <c r="I33" s="40">
        <f>H33*E33</f>
        <v>8000000</v>
      </c>
      <c r="J33" s="61">
        <v>9.8399999999997465E-3</v>
      </c>
      <c r="K33" s="40">
        <f t="shared" si="7"/>
        <v>7921280.0000000019</v>
      </c>
    </row>
    <row r="34" spans="1:13" ht="15.75" hidden="1" x14ac:dyDescent="0.25">
      <c r="A34" s="44"/>
      <c r="B34" s="44"/>
      <c r="C34" s="44"/>
      <c r="D34" s="44"/>
      <c r="E34" s="44"/>
      <c r="F34" s="44"/>
      <c r="G34" s="44"/>
      <c r="H34" s="44"/>
      <c r="I34" s="45">
        <f>SUM(I29:I33)</f>
        <v>40408600</v>
      </c>
      <c r="J34" s="62"/>
      <c r="K34" s="46">
        <f>SUM(K29:K33)</f>
        <v>27000000</v>
      </c>
    </row>
    <row r="35" spans="1:13" ht="15.75" thickBot="1" x14ac:dyDescent="0.3"/>
    <row r="36" spans="1:13" ht="18.75" thickBot="1" x14ac:dyDescent="0.3">
      <c r="A36" s="399" t="s">
        <v>88</v>
      </c>
      <c r="B36" s="394"/>
      <c r="C36" s="394"/>
      <c r="D36" s="394"/>
      <c r="E36" s="394"/>
      <c r="F36" s="394"/>
      <c r="G36" s="394"/>
      <c r="H36" s="394"/>
      <c r="I36" s="394"/>
      <c r="J36" s="394"/>
      <c r="K36" s="395"/>
    </row>
    <row r="37" spans="1:13" ht="15.75" thickBot="1" x14ac:dyDescent="0.3">
      <c r="A37" s="33" t="s">
        <v>63</v>
      </c>
      <c r="B37" s="34" t="s">
        <v>64</v>
      </c>
      <c r="C37" s="34" t="s">
        <v>65</v>
      </c>
      <c r="D37" s="34" t="s">
        <v>66</v>
      </c>
      <c r="E37" s="34" t="s">
        <v>67</v>
      </c>
      <c r="F37" s="34" t="s">
        <v>68</v>
      </c>
      <c r="G37" s="34" t="s">
        <v>69</v>
      </c>
      <c r="H37" s="34" t="s">
        <v>70</v>
      </c>
      <c r="I37" s="35" t="s">
        <v>71</v>
      </c>
      <c r="J37" s="34" t="s">
        <v>72</v>
      </c>
      <c r="K37" s="36" t="s">
        <v>73</v>
      </c>
      <c r="L37" s="48">
        <v>0.14000000000000001</v>
      </c>
      <c r="M37" s="48">
        <v>0.1</v>
      </c>
    </row>
    <row r="38" spans="1:13" x14ac:dyDescent="0.25">
      <c r="A38" s="37" t="s">
        <v>12</v>
      </c>
      <c r="B38" s="37" t="s">
        <v>75</v>
      </c>
      <c r="C38" s="38" t="s">
        <v>87</v>
      </c>
      <c r="D38" s="39" t="s">
        <v>77</v>
      </c>
      <c r="E38" s="40">
        <f>M38</f>
        <v>6188600</v>
      </c>
      <c r="F38" s="41">
        <v>1</v>
      </c>
      <c r="G38" s="41">
        <v>1</v>
      </c>
      <c r="H38" s="40">
        <f>F38*G38</f>
        <v>1</v>
      </c>
      <c r="I38" s="40">
        <f>H38*E38</f>
        <v>6188600</v>
      </c>
      <c r="J38" s="42">
        <v>0.59947861120985901</v>
      </c>
      <c r="K38" s="40">
        <f>I38-(I38*J38)</f>
        <v>2478666.6666666665</v>
      </c>
      <c r="L38" s="29"/>
      <c r="M38" s="29">
        <f>5626000+(5626000*M37)</f>
        <v>6188600</v>
      </c>
    </row>
    <row r="39" spans="1:13" x14ac:dyDescent="0.25">
      <c r="A39" s="37" t="s">
        <v>12</v>
      </c>
      <c r="B39" s="37" t="s">
        <v>78</v>
      </c>
      <c r="C39" s="38" t="s">
        <v>78</v>
      </c>
      <c r="D39" s="39" t="s">
        <v>79</v>
      </c>
      <c r="E39" s="40">
        <f>L39</f>
        <v>2280000</v>
      </c>
      <c r="F39" s="41">
        <v>1</v>
      </c>
      <c r="G39" s="41">
        <v>1</v>
      </c>
      <c r="H39" s="40">
        <f t="shared" ref="H39:H41" si="8">F39*G39</f>
        <v>1</v>
      </c>
      <c r="I39" s="40">
        <f>H39*E39</f>
        <v>2280000</v>
      </c>
      <c r="J39" s="42">
        <v>0</v>
      </c>
      <c r="K39" s="40">
        <f t="shared" ref="K39:K41" si="9">I39-(I39*J39)</f>
        <v>2280000</v>
      </c>
      <c r="L39" s="29">
        <f>2000000+(2000000*L37)</f>
        <v>2280000</v>
      </c>
    </row>
    <row r="40" spans="1:13" x14ac:dyDescent="0.25">
      <c r="A40" s="37" t="s">
        <v>12</v>
      </c>
      <c r="B40" s="37" t="s">
        <v>78</v>
      </c>
      <c r="C40" s="38" t="s">
        <v>78</v>
      </c>
      <c r="D40" s="43" t="s">
        <v>80</v>
      </c>
      <c r="E40" s="40">
        <v>2500000</v>
      </c>
      <c r="F40" s="41">
        <v>1</v>
      </c>
      <c r="G40" s="41">
        <v>1</v>
      </c>
      <c r="H40" s="40">
        <f t="shared" si="8"/>
        <v>1</v>
      </c>
      <c r="I40" s="40">
        <f>H40*E40</f>
        <v>2500000</v>
      </c>
      <c r="J40" s="42">
        <v>0.5</v>
      </c>
      <c r="K40" s="40">
        <f t="shared" si="9"/>
        <v>1250000</v>
      </c>
      <c r="L40" s="29">
        <f>2160000+(2160000*L37)</f>
        <v>2462400</v>
      </c>
    </row>
    <row r="41" spans="1:13" ht="15.75" thickBot="1" x14ac:dyDescent="0.3">
      <c r="A41" s="37" t="s">
        <v>12</v>
      </c>
      <c r="B41" s="37" t="s">
        <v>78</v>
      </c>
      <c r="C41" s="38" t="s">
        <v>78</v>
      </c>
      <c r="D41" s="43" t="s">
        <v>81</v>
      </c>
      <c r="E41" s="40">
        <v>7000000</v>
      </c>
      <c r="F41" s="41">
        <v>1</v>
      </c>
      <c r="G41" s="41">
        <v>1</v>
      </c>
      <c r="H41" s="40">
        <f t="shared" si="8"/>
        <v>1</v>
      </c>
      <c r="I41" s="40">
        <f>H41*E41</f>
        <v>7000000</v>
      </c>
      <c r="J41" s="42">
        <v>0.51552380952380938</v>
      </c>
      <c r="K41" s="40">
        <f t="shared" si="9"/>
        <v>3391333.3333333344</v>
      </c>
      <c r="L41" s="29">
        <f>6000000+(6000000*L37)</f>
        <v>6840000</v>
      </c>
    </row>
    <row r="42" spans="1:13" ht="15.75" x14ac:dyDescent="0.25">
      <c r="A42" s="44"/>
      <c r="B42" s="44"/>
      <c r="C42" s="44"/>
      <c r="D42" s="44"/>
      <c r="E42" s="44"/>
      <c r="F42" s="44"/>
      <c r="G42" s="44"/>
      <c r="H42" s="44"/>
      <c r="I42" s="45">
        <f>SUM(I38:I41)</f>
        <v>17968600</v>
      </c>
      <c r="J42" s="44"/>
      <c r="K42" s="46">
        <f>SUM(K38:K41)</f>
        <v>9400000</v>
      </c>
    </row>
    <row r="43" spans="1:13" ht="15.75" thickBot="1" x14ac:dyDescent="0.3"/>
    <row r="44" spans="1:13" ht="18.75" thickBot="1" x14ac:dyDescent="0.3">
      <c r="A44" s="393" t="s">
        <v>89</v>
      </c>
      <c r="B44" s="394"/>
      <c r="C44" s="394"/>
      <c r="D44" s="394"/>
      <c r="E44" s="394"/>
      <c r="F44" s="394"/>
      <c r="G44" s="394"/>
      <c r="H44" s="394"/>
      <c r="I44" s="394"/>
      <c r="J44" s="394"/>
      <c r="K44" s="395"/>
    </row>
    <row r="45" spans="1:13" ht="15.75" thickBot="1" x14ac:dyDescent="0.3">
      <c r="A45" s="33" t="s">
        <v>63</v>
      </c>
      <c r="B45" s="34" t="s">
        <v>64</v>
      </c>
      <c r="C45" s="34" t="s">
        <v>65</v>
      </c>
      <c r="D45" s="34" t="s">
        <v>66</v>
      </c>
      <c r="E45" s="34" t="s">
        <v>67</v>
      </c>
      <c r="F45" s="34" t="s">
        <v>68</v>
      </c>
      <c r="G45" s="34" t="s">
        <v>69</v>
      </c>
      <c r="H45" s="34" t="s">
        <v>70</v>
      </c>
      <c r="I45" s="35" t="s">
        <v>71</v>
      </c>
      <c r="J45" s="34" t="s">
        <v>72</v>
      </c>
      <c r="K45" s="36" t="s">
        <v>73</v>
      </c>
      <c r="L45" s="48">
        <v>0.14000000000000001</v>
      </c>
      <c r="M45" s="48">
        <v>0.1</v>
      </c>
    </row>
    <row r="46" spans="1:13" x14ac:dyDescent="0.25">
      <c r="A46" s="37" t="s">
        <v>12</v>
      </c>
      <c r="B46" s="37" t="s">
        <v>75</v>
      </c>
      <c r="C46" s="38" t="s">
        <v>87</v>
      </c>
      <c r="D46" s="39" t="s">
        <v>77</v>
      </c>
      <c r="E46" s="40">
        <f>M46</f>
        <v>6188600</v>
      </c>
      <c r="F46" s="41">
        <v>1</v>
      </c>
      <c r="G46" s="41">
        <v>1</v>
      </c>
      <c r="H46" s="40">
        <f>F46*G46</f>
        <v>1</v>
      </c>
      <c r="I46" s="40">
        <f>H46*E46</f>
        <v>6188600</v>
      </c>
      <c r="J46" s="42">
        <v>0.5963602572018385</v>
      </c>
      <c r="K46" s="40">
        <f>I46-(I46*J46)</f>
        <v>2497964.9122807025</v>
      </c>
      <c r="L46" s="29"/>
      <c r="M46" s="29">
        <f>5626000+(5626000*M45)</f>
        <v>6188600</v>
      </c>
    </row>
    <row r="47" spans="1:13" x14ac:dyDescent="0.25">
      <c r="A47" s="37" t="s">
        <v>12</v>
      </c>
      <c r="B47" s="37" t="s">
        <v>78</v>
      </c>
      <c r="C47" s="38" t="s">
        <v>78</v>
      </c>
      <c r="D47" s="39" t="s">
        <v>79</v>
      </c>
      <c r="E47" s="40">
        <f>L47</f>
        <v>2280000</v>
      </c>
      <c r="F47" s="41">
        <v>1</v>
      </c>
      <c r="G47" s="41">
        <v>1</v>
      </c>
      <c r="H47" s="40">
        <f t="shared" ref="H47:H50" si="10">F47*G47</f>
        <v>1</v>
      </c>
      <c r="I47" s="40">
        <f>H47*E47</f>
        <v>2280000</v>
      </c>
      <c r="J47" s="42">
        <v>0</v>
      </c>
      <c r="K47" s="40">
        <f t="shared" ref="K47:K50" si="11">I47-(I47*J47)</f>
        <v>2280000</v>
      </c>
      <c r="L47" s="29">
        <f>2000000+(2000000*L45)</f>
        <v>2280000</v>
      </c>
    </row>
    <row r="48" spans="1:13" x14ac:dyDescent="0.25">
      <c r="A48" s="37" t="s">
        <v>12</v>
      </c>
      <c r="B48" s="37" t="s">
        <v>78</v>
      </c>
      <c r="C48" s="38" t="s">
        <v>78</v>
      </c>
      <c r="D48" s="43" t="s">
        <v>80</v>
      </c>
      <c r="E48" s="40">
        <v>2500000</v>
      </c>
      <c r="F48" s="41">
        <v>1</v>
      </c>
      <c r="G48" s="41">
        <v>1</v>
      </c>
      <c r="H48" s="40">
        <f t="shared" si="10"/>
        <v>1</v>
      </c>
      <c r="I48" s="40">
        <f>H48*E48</f>
        <v>2500000</v>
      </c>
      <c r="J48" s="42">
        <v>0.5</v>
      </c>
      <c r="K48" s="40">
        <f t="shared" si="11"/>
        <v>1250000</v>
      </c>
      <c r="L48" s="29">
        <f>2160000+(2160000*L45)</f>
        <v>2462400</v>
      </c>
    </row>
    <row r="49" spans="1:13" x14ac:dyDescent="0.25">
      <c r="A49" s="37" t="s">
        <v>12</v>
      </c>
      <c r="B49" s="37" t="s">
        <v>78</v>
      </c>
      <c r="C49" s="38" t="s">
        <v>78</v>
      </c>
      <c r="D49" s="43" t="s">
        <v>81</v>
      </c>
      <c r="E49" s="40">
        <v>7000000</v>
      </c>
      <c r="F49" s="41">
        <v>1</v>
      </c>
      <c r="G49" s="41">
        <v>1</v>
      </c>
      <c r="H49" s="40">
        <f t="shared" si="10"/>
        <v>1</v>
      </c>
      <c r="I49" s="40">
        <f>H49*E49</f>
        <v>7000000</v>
      </c>
      <c r="J49" s="42">
        <v>0.51411428571428575</v>
      </c>
      <c r="K49" s="40">
        <f t="shared" si="11"/>
        <v>3401200</v>
      </c>
      <c r="L49" s="29">
        <f>6000000+(6000000*L45)</f>
        <v>6840000</v>
      </c>
    </row>
    <row r="50" spans="1:13" ht="15.75" thickBot="1" x14ac:dyDescent="0.3">
      <c r="A50" s="37" t="s">
        <v>12</v>
      </c>
      <c r="B50" s="37" t="s">
        <v>78</v>
      </c>
      <c r="C50" s="38" t="s">
        <v>78</v>
      </c>
      <c r="D50" s="39" t="s">
        <v>82</v>
      </c>
      <c r="E50" s="40">
        <f>L50</f>
        <v>2280000</v>
      </c>
      <c r="F50" s="41">
        <v>1</v>
      </c>
      <c r="G50" s="41">
        <v>1</v>
      </c>
      <c r="H50" s="40">
        <f t="shared" si="10"/>
        <v>1</v>
      </c>
      <c r="I50" s="40">
        <f>H50*E50</f>
        <v>2280000</v>
      </c>
      <c r="J50" s="42">
        <v>4.0196983687293703E-3</v>
      </c>
      <c r="K50" s="40">
        <f t="shared" si="11"/>
        <v>2270835.087719297</v>
      </c>
      <c r="L50" s="29">
        <f>2000000+(2000000*L45)</f>
        <v>2280000</v>
      </c>
    </row>
    <row r="51" spans="1:13" ht="15.75" x14ac:dyDescent="0.25">
      <c r="A51" s="44"/>
      <c r="B51" s="44"/>
      <c r="C51" s="44"/>
      <c r="D51" s="44"/>
      <c r="E51" s="44"/>
      <c r="F51" s="44"/>
      <c r="G51" s="44"/>
      <c r="H51" s="44"/>
      <c r="I51" s="45">
        <f>SUM(I46:I50)</f>
        <v>20248600</v>
      </c>
      <c r="J51" s="44"/>
      <c r="K51" s="46">
        <f>SUM(K46:K50)</f>
        <v>11700000</v>
      </c>
    </row>
    <row r="52" spans="1:13" ht="15.75" thickBot="1" x14ac:dyDescent="0.3"/>
    <row r="53" spans="1:13" ht="18.75" thickBot="1" x14ac:dyDescent="0.3">
      <c r="A53" s="393" t="s">
        <v>90</v>
      </c>
      <c r="B53" s="394"/>
      <c r="C53" s="394"/>
      <c r="D53" s="394"/>
      <c r="E53" s="394"/>
      <c r="F53" s="394"/>
      <c r="G53" s="394"/>
      <c r="H53" s="394"/>
      <c r="I53" s="394"/>
      <c r="J53" s="394"/>
      <c r="K53" s="395"/>
    </row>
    <row r="54" spans="1:13" ht="15.75" thickBot="1" x14ac:dyDescent="0.3">
      <c r="A54" s="33" t="s">
        <v>63</v>
      </c>
      <c r="B54" s="34" t="s">
        <v>64</v>
      </c>
      <c r="C54" s="34" t="s">
        <v>65</v>
      </c>
      <c r="D54" s="34" t="s">
        <v>66</v>
      </c>
      <c r="E54" s="34" t="s">
        <v>67</v>
      </c>
      <c r="F54" s="34" t="s">
        <v>68</v>
      </c>
      <c r="G54" s="34" t="s">
        <v>69</v>
      </c>
      <c r="H54" s="34" t="s">
        <v>70</v>
      </c>
      <c r="I54" s="35" t="s">
        <v>71</v>
      </c>
      <c r="J54" s="34" t="s">
        <v>72</v>
      </c>
      <c r="K54" s="36" t="s">
        <v>73</v>
      </c>
      <c r="L54" s="48">
        <v>0.14000000000000001</v>
      </c>
      <c r="M54" s="48">
        <v>0.1</v>
      </c>
    </row>
    <row r="55" spans="1:13" x14ac:dyDescent="0.25">
      <c r="A55" s="37" t="s">
        <v>12</v>
      </c>
      <c r="B55" s="37" t="s">
        <v>75</v>
      </c>
      <c r="C55" s="38" t="s">
        <v>87</v>
      </c>
      <c r="D55" s="39" t="s">
        <v>77</v>
      </c>
      <c r="E55" s="40">
        <f>M55</f>
        <v>6188600</v>
      </c>
      <c r="F55" s="41">
        <v>1</v>
      </c>
      <c r="G55" s="41">
        <v>1</v>
      </c>
      <c r="H55" s="40">
        <f>F55*G55</f>
        <v>1</v>
      </c>
      <c r="I55" s="40">
        <f>H55*E55</f>
        <v>6188600</v>
      </c>
      <c r="J55" s="42">
        <v>0.6</v>
      </c>
      <c r="K55" s="40">
        <f>I55-(I55*J55)</f>
        <v>2475440</v>
      </c>
      <c r="L55" s="29"/>
      <c r="M55" s="29">
        <f>5626000+(5626000*M54)</f>
        <v>6188600</v>
      </c>
    </row>
    <row r="56" spans="1:13" x14ac:dyDescent="0.25">
      <c r="A56" s="37" t="s">
        <v>12</v>
      </c>
      <c r="B56" s="37" t="s">
        <v>78</v>
      </c>
      <c r="C56" s="38" t="s">
        <v>78</v>
      </c>
      <c r="D56" s="39" t="s">
        <v>79</v>
      </c>
      <c r="E56" s="40">
        <f>L56</f>
        <v>2280000</v>
      </c>
      <c r="F56" s="41">
        <v>1</v>
      </c>
      <c r="G56" s="41">
        <v>1</v>
      </c>
      <c r="H56" s="40">
        <f t="shared" ref="H56:H59" si="12">F56*G56</f>
        <v>1</v>
      </c>
      <c r="I56" s="40">
        <f>H56*E56</f>
        <v>2280000</v>
      </c>
      <c r="J56" s="42">
        <v>0</v>
      </c>
      <c r="K56" s="40">
        <f t="shared" ref="K56:K59" si="13">I56-(I56*J56)</f>
        <v>2280000</v>
      </c>
      <c r="L56" s="29">
        <f>2000000+(2000000*L54)</f>
        <v>2280000</v>
      </c>
    </row>
    <row r="57" spans="1:13" x14ac:dyDescent="0.25">
      <c r="A57" s="37" t="s">
        <v>12</v>
      </c>
      <c r="B57" s="37" t="s">
        <v>78</v>
      </c>
      <c r="C57" s="38" t="s">
        <v>78</v>
      </c>
      <c r="D57" s="43" t="s">
        <v>80</v>
      </c>
      <c r="E57" s="40">
        <v>2500000</v>
      </c>
      <c r="F57" s="41">
        <v>1</v>
      </c>
      <c r="G57" s="41">
        <v>1</v>
      </c>
      <c r="H57" s="40">
        <f t="shared" si="12"/>
        <v>1</v>
      </c>
      <c r="I57" s="40">
        <f>H57*E57</f>
        <v>2500000</v>
      </c>
      <c r="J57" s="42">
        <v>0.5</v>
      </c>
      <c r="K57" s="40">
        <f t="shared" si="13"/>
        <v>1250000</v>
      </c>
      <c r="L57" s="29">
        <f>2160000+(2160000*L54)</f>
        <v>2462400</v>
      </c>
    </row>
    <row r="58" spans="1:13" x14ac:dyDescent="0.25">
      <c r="A58" s="37" t="s">
        <v>12</v>
      </c>
      <c r="B58" s="37" t="s">
        <v>78</v>
      </c>
      <c r="C58" s="38" t="s">
        <v>78</v>
      </c>
      <c r="D58" s="43" t="s">
        <v>81</v>
      </c>
      <c r="E58" s="40">
        <v>7000000</v>
      </c>
      <c r="F58" s="41">
        <v>1</v>
      </c>
      <c r="G58" s="41">
        <v>1</v>
      </c>
      <c r="H58" s="40">
        <f t="shared" si="12"/>
        <v>1</v>
      </c>
      <c r="I58" s="40">
        <f>H58*E58</f>
        <v>7000000</v>
      </c>
      <c r="J58" s="42">
        <v>0.51411428571428575</v>
      </c>
      <c r="K58" s="40">
        <f t="shared" si="13"/>
        <v>3401200</v>
      </c>
      <c r="L58" s="29">
        <f>6000000+(6000000*L54)</f>
        <v>6840000</v>
      </c>
    </row>
    <row r="59" spans="1:13" ht="15.75" thickBot="1" x14ac:dyDescent="0.3">
      <c r="A59" s="37" t="s">
        <v>12</v>
      </c>
      <c r="B59" s="37" t="s">
        <v>78</v>
      </c>
      <c r="C59" s="38" t="s">
        <v>78</v>
      </c>
      <c r="D59" s="39" t="s">
        <v>83</v>
      </c>
      <c r="E59" s="40">
        <f>L59</f>
        <v>5016000</v>
      </c>
      <c r="F59" s="41">
        <v>1</v>
      </c>
      <c r="G59" s="41">
        <v>1</v>
      </c>
      <c r="H59" s="40">
        <f t="shared" si="12"/>
        <v>1</v>
      </c>
      <c r="I59" s="40">
        <f>H59*E59</f>
        <v>5016000</v>
      </c>
      <c r="J59" s="42">
        <v>4.5135566188198063E-3</v>
      </c>
      <c r="K59" s="40">
        <f t="shared" si="13"/>
        <v>4993360</v>
      </c>
      <c r="L59" s="29">
        <f>4400000+(4400000*L54)</f>
        <v>5016000</v>
      </c>
    </row>
    <row r="60" spans="1:13" ht="15.75" x14ac:dyDescent="0.25">
      <c r="A60" s="44"/>
      <c r="B60" s="44"/>
      <c r="C60" s="44"/>
      <c r="D60" s="44"/>
      <c r="E60" s="44"/>
      <c r="F60" s="44"/>
      <c r="G60" s="44"/>
      <c r="H60" s="44"/>
      <c r="I60" s="45">
        <f>SUM(I55:I59)</f>
        <v>22984600</v>
      </c>
      <c r="J60" s="44"/>
      <c r="K60" s="46">
        <f>SUM(K55:K59)</f>
        <v>14400000</v>
      </c>
    </row>
    <row r="61" spans="1:13" ht="15.75" thickBot="1" x14ac:dyDescent="0.3"/>
    <row r="62" spans="1:13" ht="18.75" hidden="1" thickBot="1" x14ac:dyDescent="0.3">
      <c r="A62" s="396" t="s">
        <v>193</v>
      </c>
      <c r="B62" s="397"/>
      <c r="C62" s="397"/>
      <c r="D62" s="397"/>
      <c r="E62" s="397"/>
      <c r="F62" s="397"/>
      <c r="G62" s="397"/>
      <c r="H62" s="397"/>
      <c r="I62" s="397"/>
      <c r="J62" s="397"/>
      <c r="K62" s="398"/>
    </row>
    <row r="63" spans="1:13" ht="15.75" hidden="1" thickBot="1" x14ac:dyDescent="0.3">
      <c r="A63" s="134" t="s">
        <v>63</v>
      </c>
      <c r="B63" s="135" t="s">
        <v>64</v>
      </c>
      <c r="C63" s="135" t="s">
        <v>65</v>
      </c>
      <c r="D63" s="135" t="s">
        <v>66</v>
      </c>
      <c r="E63" s="135" t="s">
        <v>67</v>
      </c>
      <c r="F63" s="135" t="s">
        <v>68</v>
      </c>
      <c r="G63" s="135" t="s">
        <v>69</v>
      </c>
      <c r="H63" s="135" t="s">
        <v>70</v>
      </c>
      <c r="I63" s="136" t="s">
        <v>71</v>
      </c>
      <c r="J63" s="137" t="s">
        <v>72</v>
      </c>
      <c r="K63" s="138" t="s">
        <v>73</v>
      </c>
    </row>
    <row r="64" spans="1:13" hidden="1" x14ac:dyDescent="0.25">
      <c r="A64" s="37" t="s">
        <v>11</v>
      </c>
      <c r="B64" s="37" t="s">
        <v>97</v>
      </c>
      <c r="C64" s="139" t="s">
        <v>87</v>
      </c>
      <c r="D64" s="39" t="s">
        <v>98</v>
      </c>
      <c r="E64" s="40">
        <v>6188600</v>
      </c>
      <c r="F64" s="41">
        <v>1</v>
      </c>
      <c r="G64" s="41">
        <v>1</v>
      </c>
      <c r="H64" s="40">
        <f>F64*G64</f>
        <v>1</v>
      </c>
      <c r="I64" s="40">
        <f>H64*E64</f>
        <v>6188600</v>
      </c>
      <c r="J64" s="61">
        <v>0.8</v>
      </c>
      <c r="K64" s="40">
        <f>I64-(I64*J64)</f>
        <v>1237720</v>
      </c>
    </row>
    <row r="65" spans="1:13" hidden="1" x14ac:dyDescent="0.25">
      <c r="A65" s="37" t="s">
        <v>11</v>
      </c>
      <c r="B65" s="37" t="s">
        <v>78</v>
      </c>
      <c r="C65" s="139" t="s">
        <v>78</v>
      </c>
      <c r="D65" s="39" t="s">
        <v>79</v>
      </c>
      <c r="E65" s="40">
        <v>2280000</v>
      </c>
      <c r="F65" s="41">
        <v>1</v>
      </c>
      <c r="G65" s="41">
        <v>1</v>
      </c>
      <c r="H65" s="40">
        <f t="shared" ref="H65:H68" si="14">F65*G65</f>
        <v>1</v>
      </c>
      <c r="I65" s="40">
        <f>H65*E65</f>
        <v>2280000</v>
      </c>
      <c r="J65" s="61">
        <v>0</v>
      </c>
      <c r="K65" s="40">
        <f t="shared" ref="K65:K68" si="15">I65-(I65*J65)</f>
        <v>2280000</v>
      </c>
    </row>
    <row r="66" spans="1:13" hidden="1" x14ac:dyDescent="0.25">
      <c r="A66" s="37" t="s">
        <v>11</v>
      </c>
      <c r="B66" s="37" t="s">
        <v>78</v>
      </c>
      <c r="C66" s="139" t="s">
        <v>78</v>
      </c>
      <c r="D66" s="43" t="s">
        <v>80</v>
      </c>
      <c r="E66" s="40">
        <v>2462400</v>
      </c>
      <c r="F66" s="41">
        <v>1</v>
      </c>
      <c r="G66" s="41">
        <v>1</v>
      </c>
      <c r="H66" s="40">
        <f t="shared" si="14"/>
        <v>1</v>
      </c>
      <c r="I66" s="40">
        <f>H66*E66</f>
        <v>2462400</v>
      </c>
      <c r="J66" s="61">
        <v>0.35</v>
      </c>
      <c r="K66" s="40">
        <f t="shared" si="15"/>
        <v>1600560</v>
      </c>
    </row>
    <row r="67" spans="1:13" hidden="1" x14ac:dyDescent="0.25">
      <c r="A67" s="37" t="s">
        <v>11</v>
      </c>
      <c r="B67" s="37" t="s">
        <v>78</v>
      </c>
      <c r="C67" s="139" t="s">
        <v>78</v>
      </c>
      <c r="D67" s="43" t="s">
        <v>81</v>
      </c>
      <c r="E67" s="40">
        <v>6840000</v>
      </c>
      <c r="F67" s="41">
        <v>1</v>
      </c>
      <c r="G67" s="41">
        <v>1</v>
      </c>
      <c r="H67" s="40">
        <f t="shared" si="14"/>
        <v>1</v>
      </c>
      <c r="I67" s="40">
        <f>H67*E67</f>
        <v>6840000</v>
      </c>
      <c r="J67" s="61">
        <v>0.35</v>
      </c>
      <c r="K67" s="40">
        <f t="shared" si="15"/>
        <v>4446000</v>
      </c>
    </row>
    <row r="68" spans="1:13" ht="15.75" hidden="1" thickBot="1" x14ac:dyDescent="0.3">
      <c r="A68" s="37" t="s">
        <v>11</v>
      </c>
      <c r="B68" s="37" t="s">
        <v>78</v>
      </c>
      <c r="C68" s="139" t="s">
        <v>78</v>
      </c>
      <c r="D68" s="39" t="s">
        <v>185</v>
      </c>
      <c r="E68" s="40">
        <v>8000000</v>
      </c>
      <c r="F68" s="41">
        <v>1</v>
      </c>
      <c r="G68" s="41">
        <v>1</v>
      </c>
      <c r="H68" s="40">
        <f t="shared" si="14"/>
        <v>1</v>
      </c>
      <c r="I68" s="40">
        <f>H68*E68</f>
        <v>8000000</v>
      </c>
      <c r="J68" s="61">
        <v>8.035000000000285E-3</v>
      </c>
      <c r="K68" s="40">
        <f t="shared" si="15"/>
        <v>7935719.9999999981</v>
      </c>
    </row>
    <row r="69" spans="1:13" ht="15.75" hidden="1" x14ac:dyDescent="0.25">
      <c r="A69" s="44"/>
      <c r="B69" s="44"/>
      <c r="C69" s="44"/>
      <c r="D69" s="44"/>
      <c r="E69" s="44"/>
      <c r="F69" s="44"/>
      <c r="G69" s="44"/>
      <c r="H69" s="44"/>
      <c r="I69" s="45">
        <f>SUM(I64:I68)</f>
        <v>25771000</v>
      </c>
      <c r="J69" s="62"/>
      <c r="K69" s="46">
        <f>SUM(K64:K68)</f>
        <v>17500000</v>
      </c>
    </row>
    <row r="70" spans="1:13" ht="18.75" thickBot="1" x14ac:dyDescent="0.3">
      <c r="A70" s="400" t="s">
        <v>359</v>
      </c>
      <c r="B70" s="401"/>
      <c r="C70" s="401"/>
      <c r="D70" s="401"/>
      <c r="E70" s="401"/>
      <c r="F70" s="401"/>
      <c r="G70" s="401"/>
      <c r="H70" s="401"/>
      <c r="I70" s="401"/>
      <c r="J70" s="401"/>
      <c r="K70" s="401"/>
    </row>
    <row r="71" spans="1:13" ht="15.75" thickBot="1" x14ac:dyDescent="0.3">
      <c r="A71" s="49" t="s">
        <v>63</v>
      </c>
      <c r="B71" s="50" t="s">
        <v>64</v>
      </c>
      <c r="C71" s="50" t="s">
        <v>65</v>
      </c>
      <c r="D71" s="50" t="s">
        <v>66</v>
      </c>
      <c r="E71" s="50" t="s">
        <v>67</v>
      </c>
      <c r="F71" s="50" t="s">
        <v>94</v>
      </c>
      <c r="G71" s="50" t="s">
        <v>69</v>
      </c>
      <c r="H71" s="50" t="s">
        <v>70</v>
      </c>
      <c r="I71" s="50" t="s">
        <v>71</v>
      </c>
      <c r="J71" s="50" t="s">
        <v>72</v>
      </c>
      <c r="K71" s="51" t="s">
        <v>73</v>
      </c>
      <c r="L71" s="48">
        <v>0.14000000000000001</v>
      </c>
      <c r="M71" s="48">
        <v>0.1</v>
      </c>
    </row>
    <row r="72" spans="1:13" x14ac:dyDescent="0.25">
      <c r="A72" s="37" t="s">
        <v>12</v>
      </c>
      <c r="B72" s="37" t="s">
        <v>343</v>
      </c>
      <c r="C72" s="38" t="s">
        <v>162</v>
      </c>
      <c r="D72" s="39" t="s">
        <v>77</v>
      </c>
      <c r="E72" s="40">
        <v>1000000</v>
      </c>
      <c r="F72" s="52">
        <v>1</v>
      </c>
      <c r="G72" s="52">
        <v>1</v>
      </c>
      <c r="H72" s="52">
        <v>1</v>
      </c>
      <c r="I72" s="53">
        <f>E72*H72</f>
        <v>1000000</v>
      </c>
      <c r="J72" s="42">
        <v>0.9</v>
      </c>
      <c r="K72" s="40">
        <f>I72-(I72*J72)</f>
        <v>100000</v>
      </c>
      <c r="L72" s="29"/>
      <c r="M72" s="29">
        <f>4953000+(4953000*M71)</f>
        <v>5448300</v>
      </c>
    </row>
    <row r="73" spans="1:13" x14ac:dyDescent="0.25">
      <c r="A73" s="37" t="s">
        <v>12</v>
      </c>
      <c r="B73" s="37" t="s">
        <v>78</v>
      </c>
      <c r="C73" s="38" t="s">
        <v>78</v>
      </c>
      <c r="D73" s="39" t="s">
        <v>79</v>
      </c>
      <c r="E73" s="40">
        <v>1000000</v>
      </c>
      <c r="F73" s="52">
        <v>1</v>
      </c>
      <c r="G73" s="52">
        <v>1</v>
      </c>
      <c r="H73" s="52">
        <v>1</v>
      </c>
      <c r="I73" s="53">
        <f t="shared" ref="I73:I75" si="16">E73*H73</f>
        <v>1000000</v>
      </c>
      <c r="J73" s="42">
        <v>0.45999999999999996</v>
      </c>
      <c r="K73" s="40">
        <f>I73-(I73*J73)</f>
        <v>540000</v>
      </c>
      <c r="L73" s="29">
        <f>2000000+(2000000*L71)</f>
        <v>2280000</v>
      </c>
    </row>
    <row r="74" spans="1:13" x14ac:dyDescent="0.25">
      <c r="A74" s="37" t="s">
        <v>12</v>
      </c>
      <c r="B74" s="37" t="s">
        <v>78</v>
      </c>
      <c r="C74" s="38" t="s">
        <v>78</v>
      </c>
      <c r="D74" s="43" t="s">
        <v>339</v>
      </c>
      <c r="E74" s="40">
        <v>900000</v>
      </c>
      <c r="F74" s="52">
        <v>1</v>
      </c>
      <c r="G74" s="52">
        <v>1</v>
      </c>
      <c r="H74" s="52">
        <v>1</v>
      </c>
      <c r="I74" s="53">
        <f t="shared" si="16"/>
        <v>900000</v>
      </c>
      <c r="J74" s="42">
        <v>0.8</v>
      </c>
      <c r="K74" s="40">
        <f t="shared" ref="K74:K75" si="17">I74-(I74*J74)</f>
        <v>180000</v>
      </c>
      <c r="L74" s="29">
        <f>2160000+(2160000*L71)</f>
        <v>2462400</v>
      </c>
    </row>
    <row r="75" spans="1:13" ht="15.75" thickBot="1" x14ac:dyDescent="0.3">
      <c r="A75" s="37" t="s">
        <v>12</v>
      </c>
      <c r="B75" s="37" t="s">
        <v>78</v>
      </c>
      <c r="C75" s="38" t="s">
        <v>78</v>
      </c>
      <c r="D75" s="43" t="s">
        <v>344</v>
      </c>
      <c r="E75" s="40">
        <v>900000</v>
      </c>
      <c r="F75" s="52">
        <v>1</v>
      </c>
      <c r="G75" s="52">
        <v>1</v>
      </c>
      <c r="H75" s="52">
        <v>1</v>
      </c>
      <c r="I75" s="53">
        <f t="shared" si="16"/>
        <v>900000</v>
      </c>
      <c r="J75" s="42">
        <v>0.8</v>
      </c>
      <c r="K75" s="40">
        <f t="shared" si="17"/>
        <v>180000</v>
      </c>
      <c r="L75" s="29">
        <f>6500000+(6500000*L71)</f>
        <v>7410000</v>
      </c>
    </row>
    <row r="76" spans="1:13" ht="15.75" x14ac:dyDescent="0.25">
      <c r="A76" s="57"/>
      <c r="B76" s="57"/>
      <c r="C76" s="57"/>
      <c r="D76" s="57"/>
      <c r="E76" s="57"/>
      <c r="F76" s="57"/>
      <c r="G76" s="57"/>
      <c r="H76" s="57"/>
      <c r="I76" s="58">
        <f>SUM(I72:I75)</f>
        <v>3800000</v>
      </c>
      <c r="J76" s="57"/>
      <c r="K76" s="59">
        <f>SUM(K72:K75)</f>
        <v>1000000</v>
      </c>
    </row>
    <row r="77" spans="1:13" ht="16.5" thickBot="1" x14ac:dyDescent="0.3">
      <c r="A77" s="44"/>
      <c r="B77" s="44"/>
      <c r="C77" s="44"/>
      <c r="D77" s="44"/>
      <c r="E77" s="44"/>
      <c r="F77" s="44"/>
      <c r="G77" s="44"/>
      <c r="H77" s="44"/>
      <c r="I77" s="191"/>
      <c r="J77" s="62"/>
      <c r="K77" s="62"/>
    </row>
    <row r="78" spans="1:13" ht="18.75" thickBot="1" x14ac:dyDescent="0.3">
      <c r="A78" s="400" t="s">
        <v>360</v>
      </c>
      <c r="B78" s="401"/>
      <c r="C78" s="401"/>
      <c r="D78" s="401"/>
      <c r="E78" s="401"/>
      <c r="F78" s="401"/>
      <c r="G78" s="401"/>
      <c r="H78" s="401"/>
      <c r="I78" s="401"/>
      <c r="J78" s="401"/>
      <c r="K78" s="401"/>
    </row>
    <row r="79" spans="1:13" ht="15.75" thickBot="1" x14ac:dyDescent="0.3">
      <c r="A79" s="49" t="s">
        <v>63</v>
      </c>
      <c r="B79" s="50" t="s">
        <v>64</v>
      </c>
      <c r="C79" s="50" t="s">
        <v>65</v>
      </c>
      <c r="D79" s="50" t="s">
        <v>66</v>
      </c>
      <c r="E79" s="50" t="s">
        <v>67</v>
      </c>
      <c r="F79" s="50" t="s">
        <v>94</v>
      </c>
      <c r="G79" s="50" t="s">
        <v>69</v>
      </c>
      <c r="H79" s="50" t="s">
        <v>70</v>
      </c>
      <c r="I79" s="50" t="s">
        <v>71</v>
      </c>
      <c r="J79" s="50" t="s">
        <v>72</v>
      </c>
      <c r="K79" s="51" t="s">
        <v>73</v>
      </c>
      <c r="L79" s="48">
        <v>0.14000000000000001</v>
      </c>
      <c r="M79" s="48">
        <v>0.1</v>
      </c>
    </row>
    <row r="80" spans="1:13" x14ac:dyDescent="0.25">
      <c r="A80" s="37" t="s">
        <v>12</v>
      </c>
      <c r="B80" s="37" t="s">
        <v>343</v>
      </c>
      <c r="C80" s="38" t="s">
        <v>162</v>
      </c>
      <c r="D80" s="39" t="s">
        <v>77</v>
      </c>
      <c r="E80" s="40">
        <v>1000000</v>
      </c>
      <c r="F80" s="52">
        <v>1</v>
      </c>
      <c r="G80" s="52">
        <v>1</v>
      </c>
      <c r="H80" s="52">
        <v>1</v>
      </c>
      <c r="I80" s="53">
        <f>E80*H80</f>
        <v>1000000</v>
      </c>
      <c r="J80" s="42">
        <v>0.9</v>
      </c>
      <c r="K80" s="40">
        <f>I80-(I80*J80)</f>
        <v>100000</v>
      </c>
      <c r="L80" s="29"/>
      <c r="M80" s="29">
        <f>4953000+(4953000*M79)</f>
        <v>5448300</v>
      </c>
    </row>
    <row r="81" spans="1:13" x14ac:dyDescent="0.25">
      <c r="A81" s="37" t="s">
        <v>12</v>
      </c>
      <c r="B81" s="37" t="s">
        <v>78</v>
      </c>
      <c r="C81" s="38" t="s">
        <v>78</v>
      </c>
      <c r="D81" s="39" t="s">
        <v>79</v>
      </c>
      <c r="E81" s="40">
        <v>1000000</v>
      </c>
      <c r="F81" s="52">
        <v>1</v>
      </c>
      <c r="G81" s="52">
        <v>1</v>
      </c>
      <c r="H81" s="52">
        <v>1</v>
      </c>
      <c r="I81" s="53">
        <f t="shared" ref="I81:I84" si="18">E81*H81</f>
        <v>1000000</v>
      </c>
      <c r="J81" s="42">
        <v>0.6</v>
      </c>
      <c r="K81" s="40">
        <f>I81-(I81*J81)</f>
        <v>400000</v>
      </c>
      <c r="L81" s="29">
        <f>2000000+(2000000*L79)</f>
        <v>2280000</v>
      </c>
    </row>
    <row r="82" spans="1:13" x14ac:dyDescent="0.25">
      <c r="A82" s="37" t="s">
        <v>12</v>
      </c>
      <c r="B82" s="37" t="s">
        <v>78</v>
      </c>
      <c r="C82" s="38" t="s">
        <v>78</v>
      </c>
      <c r="D82" s="43" t="s">
        <v>339</v>
      </c>
      <c r="E82" s="40">
        <v>900000</v>
      </c>
      <c r="F82" s="52">
        <v>1</v>
      </c>
      <c r="G82" s="52">
        <v>1</v>
      </c>
      <c r="H82" s="52">
        <v>1</v>
      </c>
      <c r="I82" s="53">
        <f t="shared" si="18"/>
        <v>900000</v>
      </c>
      <c r="J82" s="42">
        <v>0.8</v>
      </c>
      <c r="K82" s="40">
        <f t="shared" ref="K82:K83" si="19">I82-(I82*J82)</f>
        <v>180000</v>
      </c>
      <c r="L82" s="29">
        <f>2160000+(2160000*L79)</f>
        <v>2462400</v>
      </c>
    </row>
    <row r="83" spans="1:13" x14ac:dyDescent="0.25">
      <c r="A83" s="37" t="s">
        <v>12</v>
      </c>
      <c r="B83" s="37" t="s">
        <v>78</v>
      </c>
      <c r="C83" s="38" t="s">
        <v>78</v>
      </c>
      <c r="D83" s="43" t="s">
        <v>344</v>
      </c>
      <c r="E83" s="40">
        <v>900000</v>
      </c>
      <c r="F83" s="52">
        <v>1</v>
      </c>
      <c r="G83" s="52">
        <v>1</v>
      </c>
      <c r="H83" s="52">
        <v>1</v>
      </c>
      <c r="I83" s="53">
        <f t="shared" si="18"/>
        <v>900000</v>
      </c>
      <c r="J83" s="42">
        <v>0.8</v>
      </c>
      <c r="K83" s="40">
        <f t="shared" si="19"/>
        <v>180000</v>
      </c>
      <c r="L83" s="29">
        <f>6500000+(6500000*L79)</f>
        <v>7410000</v>
      </c>
    </row>
    <row r="84" spans="1:13" ht="15.75" thickBot="1" x14ac:dyDescent="0.3">
      <c r="A84" s="37" t="s">
        <v>12</v>
      </c>
      <c r="B84" s="37" t="s">
        <v>78</v>
      </c>
      <c r="C84" s="38" t="s">
        <v>78</v>
      </c>
      <c r="D84" s="54" t="s">
        <v>83</v>
      </c>
      <c r="E84" s="55">
        <v>1000000</v>
      </c>
      <c r="F84" s="52">
        <v>1</v>
      </c>
      <c r="G84" s="52">
        <v>1</v>
      </c>
      <c r="H84" s="52">
        <v>1</v>
      </c>
      <c r="I84" s="53">
        <f t="shared" si="18"/>
        <v>1000000</v>
      </c>
      <c r="J84" s="56">
        <v>0.55999999999999994</v>
      </c>
      <c r="K84" s="40">
        <f>I84-(I84*J84)</f>
        <v>440000</v>
      </c>
      <c r="L84" s="29">
        <f>4400000+(4400000*L79)</f>
        <v>5016000</v>
      </c>
    </row>
    <row r="85" spans="1:13" ht="15.75" x14ac:dyDescent="0.25">
      <c r="A85" s="57"/>
      <c r="B85" s="57"/>
      <c r="C85" s="57"/>
      <c r="D85" s="57"/>
      <c r="E85" s="57"/>
      <c r="F85" s="57"/>
      <c r="G85" s="57"/>
      <c r="H85" s="57"/>
      <c r="I85" s="58">
        <f>SUM(I80:I84)</f>
        <v>4800000</v>
      </c>
      <c r="J85" s="57"/>
      <c r="K85" s="59">
        <f>SUM(K80:K84)</f>
        <v>1300000</v>
      </c>
    </row>
    <row r="86" spans="1:13" ht="15.75" thickBot="1" x14ac:dyDescent="0.3"/>
    <row r="87" spans="1:13" ht="18.75" thickBot="1" x14ac:dyDescent="0.3">
      <c r="A87" s="399" t="s">
        <v>348</v>
      </c>
      <c r="B87" s="394"/>
      <c r="C87" s="394"/>
      <c r="D87" s="394"/>
      <c r="E87" s="394"/>
      <c r="F87" s="394"/>
      <c r="G87" s="394"/>
      <c r="H87" s="394"/>
      <c r="I87" s="394"/>
      <c r="J87" s="394"/>
      <c r="K87" s="395"/>
    </row>
    <row r="88" spans="1:13" ht="15.75" thickBot="1" x14ac:dyDescent="0.3">
      <c r="A88" s="33" t="s">
        <v>91</v>
      </c>
      <c r="B88" s="34" t="s">
        <v>64</v>
      </c>
      <c r="C88" s="34" t="s">
        <v>65</v>
      </c>
      <c r="D88" s="34" t="s">
        <v>66</v>
      </c>
      <c r="E88" s="34" t="s">
        <v>67</v>
      </c>
      <c r="F88" s="34" t="s">
        <v>68</v>
      </c>
      <c r="G88" s="34" t="s">
        <v>69</v>
      </c>
      <c r="H88" s="34" t="s">
        <v>70</v>
      </c>
      <c r="I88" s="35" t="s">
        <v>71</v>
      </c>
      <c r="J88" s="34" t="s">
        <v>72</v>
      </c>
      <c r="K88" s="36" t="s">
        <v>73</v>
      </c>
      <c r="L88" s="48">
        <v>0.14000000000000001</v>
      </c>
      <c r="M88" s="48">
        <v>0.1</v>
      </c>
    </row>
    <row r="89" spans="1:13" x14ac:dyDescent="0.25">
      <c r="A89" s="37" t="s">
        <v>10</v>
      </c>
      <c r="B89" s="37" t="s">
        <v>92</v>
      </c>
      <c r="C89" s="38" t="s">
        <v>93</v>
      </c>
      <c r="D89" s="39" t="s">
        <v>77</v>
      </c>
      <c r="E89" s="40">
        <f>M89</f>
        <v>4140400</v>
      </c>
      <c r="F89" s="41">
        <v>1</v>
      </c>
      <c r="G89" s="41">
        <v>1</v>
      </c>
      <c r="H89" s="40">
        <f>F89*G89</f>
        <v>1</v>
      </c>
      <c r="I89" s="40">
        <f>H89*E89</f>
        <v>4140400</v>
      </c>
      <c r="J89" s="42">
        <v>0.7</v>
      </c>
      <c r="K89" s="40">
        <f>I89-(I89*J89)</f>
        <v>1242120</v>
      </c>
      <c r="L89" s="29"/>
      <c r="M89" s="29">
        <f>3764000+(3764000*M88)</f>
        <v>4140400</v>
      </c>
    </row>
    <row r="90" spans="1:13" x14ac:dyDescent="0.25">
      <c r="A90" s="37" t="s">
        <v>10</v>
      </c>
      <c r="B90" s="37" t="s">
        <v>78</v>
      </c>
      <c r="C90" s="38" t="s">
        <v>78</v>
      </c>
      <c r="D90" s="39" t="s">
        <v>79</v>
      </c>
      <c r="E90" s="40">
        <f>L90</f>
        <v>2280000</v>
      </c>
      <c r="F90" s="41">
        <v>1</v>
      </c>
      <c r="G90" s="41">
        <v>1</v>
      </c>
      <c r="H90" s="40">
        <f t="shared" ref="H90:H92" si="20">F90*G90</f>
        <v>1</v>
      </c>
      <c r="I90" s="40">
        <f t="shared" ref="I90:I92" si="21">H90*E90</f>
        <v>2280000</v>
      </c>
      <c r="J90" s="42">
        <v>0</v>
      </c>
      <c r="K90" s="40">
        <f t="shared" ref="K90:K92" si="22">I90-(I90*J90)</f>
        <v>2280000</v>
      </c>
      <c r="L90" s="29">
        <f>2000000+(2000000*L88)</f>
        <v>2280000</v>
      </c>
    </row>
    <row r="91" spans="1:13" x14ac:dyDescent="0.25">
      <c r="A91" s="37" t="s">
        <v>10</v>
      </c>
      <c r="B91" s="37" t="s">
        <v>78</v>
      </c>
      <c r="C91" s="38" t="s">
        <v>78</v>
      </c>
      <c r="D91" s="43" t="s">
        <v>80</v>
      </c>
      <c r="E91" s="40">
        <v>2500000</v>
      </c>
      <c r="F91" s="41">
        <v>1</v>
      </c>
      <c r="G91" s="41">
        <v>1</v>
      </c>
      <c r="H91" s="40">
        <f t="shared" si="20"/>
        <v>1</v>
      </c>
      <c r="I91" s="40">
        <f t="shared" si="21"/>
        <v>2500000</v>
      </c>
      <c r="J91" s="42">
        <v>0.4</v>
      </c>
      <c r="K91" s="40">
        <f t="shared" si="22"/>
        <v>1500000</v>
      </c>
      <c r="L91" s="29">
        <f>2160000+(2160000*L88)</f>
        <v>2462400</v>
      </c>
    </row>
    <row r="92" spans="1:13" ht="15.75" thickBot="1" x14ac:dyDescent="0.3">
      <c r="A92" s="37" t="s">
        <v>10</v>
      </c>
      <c r="B92" s="37" t="s">
        <v>78</v>
      </c>
      <c r="C92" s="38" t="s">
        <v>78</v>
      </c>
      <c r="D92" s="43" t="s">
        <v>81</v>
      </c>
      <c r="E92" s="40">
        <v>7400000</v>
      </c>
      <c r="F92" s="41">
        <v>1</v>
      </c>
      <c r="G92" s="41">
        <v>1</v>
      </c>
      <c r="H92" s="40">
        <f t="shared" si="20"/>
        <v>1</v>
      </c>
      <c r="I92" s="40">
        <f t="shared" si="21"/>
        <v>7400000</v>
      </c>
      <c r="J92" s="42">
        <v>0.39488108108108111</v>
      </c>
      <c r="K92" s="40">
        <f t="shared" si="22"/>
        <v>4477880</v>
      </c>
      <c r="L92" s="29">
        <f>6500000+(6500000*L88)</f>
        <v>7410000</v>
      </c>
    </row>
    <row r="93" spans="1:13" ht="15.75" x14ac:dyDescent="0.25">
      <c r="A93" s="44"/>
      <c r="B93" s="44"/>
      <c r="C93" s="44"/>
      <c r="D93" s="44"/>
      <c r="E93" s="44"/>
      <c r="F93" s="44"/>
      <c r="G93" s="44"/>
      <c r="H93" s="44"/>
      <c r="I93" s="45">
        <f>SUM(I89:I92)</f>
        <v>16320400</v>
      </c>
      <c r="J93" s="44"/>
      <c r="K93" s="46">
        <f>SUM(K89:K92)</f>
        <v>9500000</v>
      </c>
    </row>
    <row r="94" spans="1:13" ht="15.75" thickBot="1" x14ac:dyDescent="0.3"/>
    <row r="95" spans="1:13" ht="18.75" thickBot="1" x14ac:dyDescent="0.3">
      <c r="A95" s="400" t="s">
        <v>95</v>
      </c>
      <c r="B95" s="401"/>
      <c r="C95" s="401"/>
      <c r="D95" s="401"/>
      <c r="E95" s="401"/>
      <c r="F95" s="401"/>
      <c r="G95" s="401"/>
      <c r="H95" s="401"/>
      <c r="I95" s="401"/>
      <c r="J95" s="401"/>
      <c r="K95" s="401"/>
    </row>
    <row r="96" spans="1:13" ht="15.75" thickBot="1" x14ac:dyDescent="0.3">
      <c r="A96" s="33" t="s">
        <v>91</v>
      </c>
      <c r="B96" s="34" t="s">
        <v>64</v>
      </c>
      <c r="C96" s="34" t="s">
        <v>65</v>
      </c>
      <c r="D96" s="34" t="s">
        <v>66</v>
      </c>
      <c r="E96" s="34" t="s">
        <v>67</v>
      </c>
      <c r="F96" s="34" t="s">
        <v>68</v>
      </c>
      <c r="G96" s="34" t="s">
        <v>69</v>
      </c>
      <c r="H96" s="34" t="s">
        <v>70</v>
      </c>
      <c r="I96" s="35" t="s">
        <v>71</v>
      </c>
      <c r="J96" s="34" t="s">
        <v>72</v>
      </c>
      <c r="K96" s="36" t="s">
        <v>73</v>
      </c>
      <c r="L96" s="48">
        <v>0.14000000000000001</v>
      </c>
      <c r="M96" s="48">
        <v>0.1</v>
      </c>
    </row>
    <row r="97" spans="1:13" x14ac:dyDescent="0.25">
      <c r="A97" s="37" t="s">
        <v>10</v>
      </c>
      <c r="B97" s="37" t="s">
        <v>92</v>
      </c>
      <c r="C97" s="38" t="s">
        <v>93</v>
      </c>
      <c r="D97" s="39" t="s">
        <v>77</v>
      </c>
      <c r="E97" s="40">
        <f>M97</f>
        <v>5448300</v>
      </c>
      <c r="F97" s="41">
        <v>1</v>
      </c>
      <c r="G97" s="41">
        <v>1</v>
      </c>
      <c r="H97" s="40">
        <f>F97*G97</f>
        <v>1</v>
      </c>
      <c r="I97" s="40">
        <f>H97*E97</f>
        <v>5448300</v>
      </c>
      <c r="J97" s="42">
        <v>0.70703915047056365</v>
      </c>
      <c r="K97" s="40">
        <f>I97-(I97*J97)</f>
        <v>1596138.5964912279</v>
      </c>
      <c r="L97" s="29"/>
      <c r="M97" s="29">
        <f>4953000+(4953000*M96)</f>
        <v>5448300</v>
      </c>
    </row>
    <row r="98" spans="1:13" x14ac:dyDescent="0.25">
      <c r="A98" s="37" t="s">
        <v>10</v>
      </c>
      <c r="B98" s="37" t="s">
        <v>78</v>
      </c>
      <c r="C98" s="38" t="s">
        <v>78</v>
      </c>
      <c r="D98" s="39" t="s">
        <v>79</v>
      </c>
      <c r="E98" s="40">
        <f>L98</f>
        <v>2280000</v>
      </c>
      <c r="F98" s="41">
        <v>1</v>
      </c>
      <c r="G98" s="41">
        <v>1</v>
      </c>
      <c r="H98" s="40">
        <f t="shared" ref="H98:H101" si="23">F98*G98</f>
        <v>1</v>
      </c>
      <c r="I98" s="40">
        <f t="shared" ref="I98:I100" si="24">H98*E98</f>
        <v>2280000</v>
      </c>
      <c r="J98" s="42">
        <v>0</v>
      </c>
      <c r="K98" s="40">
        <f t="shared" ref="K98:K101" si="25">I98-(I98*J98)</f>
        <v>2280000</v>
      </c>
      <c r="L98" s="29">
        <f>2000000+(2000000*L96)</f>
        <v>2280000</v>
      </c>
    </row>
    <row r="99" spans="1:13" x14ac:dyDescent="0.25">
      <c r="A99" s="37" t="s">
        <v>10</v>
      </c>
      <c r="B99" s="37" t="s">
        <v>78</v>
      </c>
      <c r="C99" s="38" t="s">
        <v>78</v>
      </c>
      <c r="D99" s="43" t="s">
        <v>80</v>
      </c>
      <c r="E99" s="40">
        <v>2500000</v>
      </c>
      <c r="F99" s="41">
        <v>1</v>
      </c>
      <c r="G99" s="41">
        <v>1</v>
      </c>
      <c r="H99" s="40">
        <f t="shared" si="23"/>
        <v>1</v>
      </c>
      <c r="I99" s="40">
        <f t="shared" si="24"/>
        <v>2500000</v>
      </c>
      <c r="J99" s="42">
        <v>0.45</v>
      </c>
      <c r="K99" s="40">
        <f t="shared" si="25"/>
        <v>1375000</v>
      </c>
      <c r="L99" s="29">
        <f>2160000+(2160000*L96)</f>
        <v>2462400</v>
      </c>
    </row>
    <row r="100" spans="1:13" x14ac:dyDescent="0.25">
      <c r="A100" s="37" t="s">
        <v>10</v>
      </c>
      <c r="B100" s="37" t="s">
        <v>78</v>
      </c>
      <c r="C100" s="38" t="s">
        <v>78</v>
      </c>
      <c r="D100" s="43" t="s">
        <v>81</v>
      </c>
      <c r="E100" s="40">
        <v>7400000</v>
      </c>
      <c r="F100" s="41">
        <v>1</v>
      </c>
      <c r="G100" s="41">
        <v>1</v>
      </c>
      <c r="H100" s="40">
        <f t="shared" si="23"/>
        <v>1</v>
      </c>
      <c r="I100" s="40">
        <f t="shared" si="24"/>
        <v>7400000</v>
      </c>
      <c r="J100" s="42">
        <v>0.45205135135135138</v>
      </c>
      <c r="K100" s="40">
        <f t="shared" si="25"/>
        <v>4054820</v>
      </c>
      <c r="L100" s="29">
        <f>6500000+(6500000*L96)</f>
        <v>7410000</v>
      </c>
    </row>
    <row r="101" spans="1:13" ht="15.75" thickBot="1" x14ac:dyDescent="0.3">
      <c r="A101" s="37" t="s">
        <v>10</v>
      </c>
      <c r="B101" s="37" t="s">
        <v>78</v>
      </c>
      <c r="C101" s="38" t="s">
        <v>78</v>
      </c>
      <c r="D101" s="39" t="s">
        <v>82</v>
      </c>
      <c r="E101" s="40">
        <f>L101</f>
        <v>2736000</v>
      </c>
      <c r="F101" s="41">
        <v>1</v>
      </c>
      <c r="G101" s="41">
        <v>1</v>
      </c>
      <c r="H101" s="40">
        <f t="shared" si="23"/>
        <v>1</v>
      </c>
      <c r="I101" s="40">
        <f>H101*E101</f>
        <v>2736000</v>
      </c>
      <c r="J101" s="42">
        <v>1.533574433158947E-2</v>
      </c>
      <c r="K101" s="40">
        <f t="shared" si="25"/>
        <v>2694041.4035087712</v>
      </c>
      <c r="L101" s="29">
        <f>2400000+(2400000*L96)</f>
        <v>2736000</v>
      </c>
    </row>
    <row r="102" spans="1:13" ht="15.75" x14ac:dyDescent="0.25">
      <c r="A102" s="44"/>
      <c r="B102" s="44"/>
      <c r="C102" s="44"/>
      <c r="D102" s="44"/>
      <c r="E102" s="44"/>
      <c r="F102" s="44"/>
      <c r="G102" s="44"/>
      <c r="H102" s="44"/>
      <c r="I102" s="45">
        <f>SUM(I97:I101)</f>
        <v>20364300</v>
      </c>
      <c r="J102" s="44"/>
      <c r="K102" s="46">
        <f>SUM(K97:K101)</f>
        <v>12000000</v>
      </c>
    </row>
    <row r="103" spans="1:13" ht="15.75" thickBot="1" x14ac:dyDescent="0.3"/>
    <row r="104" spans="1:13" ht="18.75" thickBot="1" x14ac:dyDescent="0.3">
      <c r="A104" s="400" t="s">
        <v>96</v>
      </c>
      <c r="B104" s="401"/>
      <c r="C104" s="401"/>
      <c r="D104" s="401"/>
      <c r="E104" s="401"/>
      <c r="F104" s="401"/>
      <c r="G104" s="401"/>
      <c r="H104" s="401"/>
      <c r="I104" s="401"/>
      <c r="J104" s="401"/>
      <c r="K104" s="401"/>
    </row>
    <row r="105" spans="1:13" ht="15.75" thickBot="1" x14ac:dyDescent="0.3">
      <c r="A105" s="49" t="s">
        <v>63</v>
      </c>
      <c r="B105" s="50" t="s">
        <v>64</v>
      </c>
      <c r="C105" s="50" t="s">
        <v>65</v>
      </c>
      <c r="D105" s="50" t="s">
        <v>66</v>
      </c>
      <c r="E105" s="50" t="s">
        <v>67</v>
      </c>
      <c r="F105" s="50" t="s">
        <v>94</v>
      </c>
      <c r="G105" s="50" t="s">
        <v>69</v>
      </c>
      <c r="H105" s="50" t="s">
        <v>70</v>
      </c>
      <c r="I105" s="50" t="s">
        <v>71</v>
      </c>
      <c r="J105" s="50" t="s">
        <v>72</v>
      </c>
      <c r="K105" s="51" t="s">
        <v>73</v>
      </c>
      <c r="L105" s="48">
        <v>0.14000000000000001</v>
      </c>
      <c r="M105" s="48">
        <v>0.1</v>
      </c>
    </row>
    <row r="106" spans="1:13" x14ac:dyDescent="0.25">
      <c r="A106" s="37" t="s">
        <v>10</v>
      </c>
      <c r="B106" s="37" t="s">
        <v>92</v>
      </c>
      <c r="C106" s="38" t="s">
        <v>93</v>
      </c>
      <c r="D106" s="39" t="s">
        <v>77</v>
      </c>
      <c r="E106" s="40">
        <f>M106</f>
        <v>5448300</v>
      </c>
      <c r="F106" s="52">
        <v>1</v>
      </c>
      <c r="G106" s="52">
        <v>1</v>
      </c>
      <c r="H106" s="52">
        <v>1</v>
      </c>
      <c r="I106" s="53">
        <f>E106*H106</f>
        <v>5448300</v>
      </c>
      <c r="J106" s="42">
        <v>0.7</v>
      </c>
      <c r="K106" s="40">
        <f>I106-(I106*J106)</f>
        <v>1634490.0000000005</v>
      </c>
      <c r="L106" s="29"/>
      <c r="M106" s="29">
        <f>4953000+(4953000*M105)</f>
        <v>5448300</v>
      </c>
    </row>
    <row r="107" spans="1:13" x14ac:dyDescent="0.25">
      <c r="A107" s="37" t="s">
        <v>10</v>
      </c>
      <c r="B107" s="37" t="s">
        <v>78</v>
      </c>
      <c r="C107" s="38" t="s">
        <v>78</v>
      </c>
      <c r="D107" s="39" t="s">
        <v>79</v>
      </c>
      <c r="E107" s="40">
        <f>L107</f>
        <v>2280000</v>
      </c>
      <c r="F107" s="52">
        <v>1</v>
      </c>
      <c r="G107" s="52">
        <v>1</v>
      </c>
      <c r="H107" s="52">
        <v>1</v>
      </c>
      <c r="I107" s="53">
        <f t="shared" ref="I107:I110" si="26">E107*H107</f>
        <v>2280000</v>
      </c>
      <c r="J107" s="42">
        <v>0</v>
      </c>
      <c r="K107" s="40">
        <f>I107-(I107*J107)</f>
        <v>2280000</v>
      </c>
      <c r="L107" s="29">
        <f>2000000+(2000000*L105)</f>
        <v>2280000</v>
      </c>
    </row>
    <row r="108" spans="1:13" x14ac:dyDescent="0.25">
      <c r="A108" s="37" t="s">
        <v>10</v>
      </c>
      <c r="B108" s="37" t="s">
        <v>78</v>
      </c>
      <c r="C108" s="38" t="s">
        <v>78</v>
      </c>
      <c r="D108" s="43" t="s">
        <v>80</v>
      </c>
      <c r="E108" s="40">
        <v>2500000</v>
      </c>
      <c r="F108" s="52">
        <v>1</v>
      </c>
      <c r="G108" s="52">
        <v>1</v>
      </c>
      <c r="H108" s="52">
        <v>1</v>
      </c>
      <c r="I108" s="53">
        <f t="shared" si="26"/>
        <v>2500000</v>
      </c>
      <c r="J108" s="42">
        <v>0.45</v>
      </c>
      <c r="K108" s="40">
        <f t="shared" ref="K108:K109" si="27">I108-(I108*J108)</f>
        <v>1375000</v>
      </c>
      <c r="L108" s="29">
        <f>2160000+(2160000*L105)</f>
        <v>2462400</v>
      </c>
    </row>
    <row r="109" spans="1:13" x14ac:dyDescent="0.25">
      <c r="A109" s="37" t="s">
        <v>10</v>
      </c>
      <c r="B109" s="37" t="s">
        <v>78</v>
      </c>
      <c r="C109" s="38" t="s">
        <v>78</v>
      </c>
      <c r="D109" s="43" t="s">
        <v>81</v>
      </c>
      <c r="E109" s="40">
        <v>7400000</v>
      </c>
      <c r="F109" s="52">
        <v>1</v>
      </c>
      <c r="G109" s="52">
        <v>1</v>
      </c>
      <c r="H109" s="52">
        <v>1</v>
      </c>
      <c r="I109" s="53">
        <f t="shared" si="26"/>
        <v>7400000</v>
      </c>
      <c r="J109" s="42">
        <v>0.45205135135135238</v>
      </c>
      <c r="K109" s="40">
        <f t="shared" si="27"/>
        <v>4054819.9999999925</v>
      </c>
      <c r="L109" s="29">
        <f>6500000+(6500000*L105)</f>
        <v>7410000</v>
      </c>
    </row>
    <row r="110" spans="1:13" ht="15.75" thickBot="1" x14ac:dyDescent="0.3">
      <c r="A110" s="37" t="s">
        <v>10</v>
      </c>
      <c r="B110" s="37" t="s">
        <v>78</v>
      </c>
      <c r="C110" s="38" t="s">
        <v>78</v>
      </c>
      <c r="D110" s="54" t="s">
        <v>83</v>
      </c>
      <c r="E110" s="55">
        <f>L110</f>
        <v>5016000</v>
      </c>
      <c r="F110" s="52">
        <v>1</v>
      </c>
      <c r="G110" s="52">
        <v>1</v>
      </c>
      <c r="H110" s="52">
        <v>1</v>
      </c>
      <c r="I110" s="53">
        <f t="shared" si="26"/>
        <v>5016000</v>
      </c>
      <c r="J110" s="56">
        <v>1.2023524720891682E-2</v>
      </c>
      <c r="K110" s="40">
        <f>I110-(I110*J110)</f>
        <v>4955690.0000000075</v>
      </c>
      <c r="L110" s="29">
        <f>4400000+(4400000*L105)</f>
        <v>5016000</v>
      </c>
    </row>
    <row r="111" spans="1:13" ht="15.75" x14ac:dyDescent="0.25">
      <c r="A111" s="57"/>
      <c r="B111" s="57"/>
      <c r="C111" s="57"/>
      <c r="D111" s="57"/>
      <c r="E111" s="57"/>
      <c r="F111" s="57"/>
      <c r="G111" s="57"/>
      <c r="H111" s="57"/>
      <c r="I111" s="58">
        <f>SUM(I106:I110)</f>
        <v>22644300</v>
      </c>
      <c r="J111" s="57"/>
      <c r="K111" s="59">
        <f>SUM(K106:K110)</f>
        <v>14300000</v>
      </c>
    </row>
    <row r="112" spans="1:13" ht="15.75" x14ac:dyDescent="0.25">
      <c r="A112" s="57"/>
      <c r="B112" s="57"/>
      <c r="C112" s="57"/>
      <c r="D112" s="57"/>
      <c r="E112" s="57"/>
      <c r="F112" s="57"/>
      <c r="G112" s="57"/>
      <c r="H112" s="57"/>
      <c r="I112" s="64"/>
      <c r="J112" s="57"/>
    </row>
    <row r="113" spans="1:13" ht="18.75" hidden="1" thickBot="1" x14ac:dyDescent="0.3">
      <c r="A113" s="396" t="s">
        <v>192</v>
      </c>
      <c r="B113" s="397"/>
      <c r="C113" s="397"/>
      <c r="D113" s="397"/>
      <c r="E113" s="397"/>
      <c r="F113" s="397"/>
      <c r="G113" s="397"/>
      <c r="H113" s="397"/>
      <c r="I113" s="397"/>
      <c r="J113" s="397"/>
      <c r="K113" s="398"/>
    </row>
    <row r="114" spans="1:13" ht="15.75" hidden="1" thickBot="1" x14ac:dyDescent="0.3">
      <c r="A114" s="134" t="s">
        <v>63</v>
      </c>
      <c r="B114" s="135" t="s">
        <v>64</v>
      </c>
      <c r="C114" s="135" t="s">
        <v>65</v>
      </c>
      <c r="D114" s="135" t="s">
        <v>66</v>
      </c>
      <c r="E114" s="135" t="s">
        <v>67</v>
      </c>
      <c r="F114" s="135" t="s">
        <v>68</v>
      </c>
      <c r="G114" s="135" t="s">
        <v>69</v>
      </c>
      <c r="H114" s="135" t="s">
        <v>70</v>
      </c>
      <c r="I114" s="136" t="s">
        <v>71</v>
      </c>
      <c r="J114" s="137" t="s">
        <v>72</v>
      </c>
      <c r="K114" s="138" t="s">
        <v>73</v>
      </c>
    </row>
    <row r="115" spans="1:13" hidden="1" x14ac:dyDescent="0.25">
      <c r="A115" s="37" t="s">
        <v>11</v>
      </c>
      <c r="B115" s="37" t="s">
        <v>97</v>
      </c>
      <c r="C115" s="139" t="s">
        <v>87</v>
      </c>
      <c r="D115" s="39" t="s">
        <v>98</v>
      </c>
      <c r="E115" s="40">
        <v>5448300</v>
      </c>
      <c r="F115" s="41">
        <v>1</v>
      </c>
      <c r="G115" s="41">
        <v>1</v>
      </c>
      <c r="H115" s="40">
        <f>F115*G115</f>
        <v>1</v>
      </c>
      <c r="I115" s="40">
        <f>H115*E115</f>
        <v>5448300</v>
      </c>
      <c r="J115" s="61">
        <v>0.8</v>
      </c>
      <c r="K115" s="40">
        <f>I115-(I115*J115)</f>
        <v>1089660</v>
      </c>
    </row>
    <row r="116" spans="1:13" hidden="1" x14ac:dyDescent="0.25">
      <c r="A116" s="37" t="s">
        <v>11</v>
      </c>
      <c r="B116" s="37" t="s">
        <v>78</v>
      </c>
      <c r="C116" s="139" t="s">
        <v>78</v>
      </c>
      <c r="D116" s="39" t="s">
        <v>79</v>
      </c>
      <c r="E116" s="40">
        <v>2280000</v>
      </c>
      <c r="F116" s="41">
        <v>1</v>
      </c>
      <c r="G116" s="41">
        <v>1</v>
      </c>
      <c r="H116" s="40">
        <f t="shared" ref="H116:H119" si="28">F116*G116</f>
        <v>1</v>
      </c>
      <c r="I116" s="40">
        <f>H116*E116</f>
        <v>2280000</v>
      </c>
      <c r="J116" s="61">
        <v>0</v>
      </c>
      <c r="K116" s="40">
        <f t="shared" ref="K116:K119" si="29">I116-(I116*J116)</f>
        <v>2280000</v>
      </c>
    </row>
    <row r="117" spans="1:13" hidden="1" x14ac:dyDescent="0.25">
      <c r="A117" s="37" t="s">
        <v>11</v>
      </c>
      <c r="B117" s="37" t="s">
        <v>78</v>
      </c>
      <c r="C117" s="139" t="s">
        <v>78</v>
      </c>
      <c r="D117" s="43" t="s">
        <v>80</v>
      </c>
      <c r="E117" s="40">
        <v>2462400</v>
      </c>
      <c r="F117" s="41">
        <v>1</v>
      </c>
      <c r="G117" s="41">
        <v>1</v>
      </c>
      <c r="H117" s="40">
        <f t="shared" si="28"/>
        <v>1</v>
      </c>
      <c r="I117" s="40">
        <f>H117*E117</f>
        <v>2462400</v>
      </c>
      <c r="J117" s="61">
        <v>0.35</v>
      </c>
      <c r="K117" s="40">
        <f t="shared" si="29"/>
        <v>1600560</v>
      </c>
    </row>
    <row r="118" spans="1:13" hidden="1" x14ac:dyDescent="0.25">
      <c r="A118" s="37" t="s">
        <v>11</v>
      </c>
      <c r="B118" s="37" t="s">
        <v>78</v>
      </c>
      <c r="C118" s="139" t="s">
        <v>78</v>
      </c>
      <c r="D118" s="43" t="s">
        <v>81</v>
      </c>
      <c r="E118" s="40">
        <v>7410000</v>
      </c>
      <c r="F118" s="41">
        <v>1</v>
      </c>
      <c r="G118" s="41">
        <v>1</v>
      </c>
      <c r="H118" s="40">
        <f t="shared" si="28"/>
        <v>1</v>
      </c>
      <c r="I118" s="40">
        <f>H118*E118</f>
        <v>7410000</v>
      </c>
      <c r="J118" s="61">
        <v>0.34265101214574895</v>
      </c>
      <c r="K118" s="40">
        <f t="shared" si="29"/>
        <v>4870956</v>
      </c>
    </row>
    <row r="119" spans="1:13" ht="15.75" hidden="1" thickBot="1" x14ac:dyDescent="0.3">
      <c r="A119" s="37" t="s">
        <v>11</v>
      </c>
      <c r="B119" s="37" t="s">
        <v>78</v>
      </c>
      <c r="C119" s="139" t="s">
        <v>78</v>
      </c>
      <c r="D119" s="39" t="s">
        <v>185</v>
      </c>
      <c r="E119" s="40">
        <v>8000000</v>
      </c>
      <c r="F119" s="41">
        <v>1</v>
      </c>
      <c r="G119" s="41">
        <v>1</v>
      </c>
      <c r="H119" s="40">
        <f t="shared" si="28"/>
        <v>1</v>
      </c>
      <c r="I119" s="40">
        <f>H119*E119</f>
        <v>8000000</v>
      </c>
      <c r="J119" s="61">
        <v>5.1470000000000005E-3</v>
      </c>
      <c r="K119" s="40">
        <f t="shared" si="29"/>
        <v>7958824</v>
      </c>
    </row>
    <row r="120" spans="1:13" ht="15.75" hidden="1" x14ac:dyDescent="0.25">
      <c r="A120" s="44"/>
      <c r="B120" s="44"/>
      <c r="C120" s="44"/>
      <c r="D120" s="44"/>
      <c r="E120" s="44"/>
      <c r="F120" s="44"/>
      <c r="G120" s="44"/>
      <c r="H120" s="44"/>
      <c r="I120" s="45">
        <f>SUM(I115:I119)</f>
        <v>25600700</v>
      </c>
      <c r="J120" s="62"/>
      <c r="K120" s="46">
        <f>SUM(K115:K119)</f>
        <v>17800000</v>
      </c>
    </row>
    <row r="121" spans="1:13" ht="16.5" thickBot="1" x14ac:dyDescent="0.3">
      <c r="A121" s="44"/>
      <c r="B121" s="44"/>
      <c r="C121" s="44"/>
      <c r="D121" s="44"/>
      <c r="E121" s="44"/>
      <c r="F121" s="44"/>
      <c r="G121" s="44"/>
      <c r="H121" s="44"/>
      <c r="I121" s="191"/>
      <c r="J121" s="62"/>
      <c r="K121" s="62"/>
    </row>
    <row r="122" spans="1:13" ht="18.75" thickBot="1" x14ac:dyDescent="0.3">
      <c r="A122" s="400" t="s">
        <v>342</v>
      </c>
      <c r="B122" s="401"/>
      <c r="C122" s="401"/>
      <c r="D122" s="401"/>
      <c r="E122" s="401"/>
      <c r="F122" s="401"/>
      <c r="G122" s="401"/>
      <c r="H122" s="401"/>
      <c r="I122" s="401"/>
      <c r="J122" s="401"/>
      <c r="K122" s="401"/>
    </row>
    <row r="123" spans="1:13" ht="15.75" thickBot="1" x14ac:dyDescent="0.3">
      <c r="A123" s="49" t="s">
        <v>63</v>
      </c>
      <c r="B123" s="50" t="s">
        <v>64</v>
      </c>
      <c r="C123" s="50" t="s">
        <v>65</v>
      </c>
      <c r="D123" s="50" t="s">
        <v>66</v>
      </c>
      <c r="E123" s="50" t="s">
        <v>67</v>
      </c>
      <c r="F123" s="50" t="s">
        <v>94</v>
      </c>
      <c r="G123" s="50" t="s">
        <v>69</v>
      </c>
      <c r="H123" s="50" t="s">
        <v>70</v>
      </c>
      <c r="I123" s="50" t="s">
        <v>71</v>
      </c>
      <c r="J123" s="50" t="s">
        <v>72</v>
      </c>
      <c r="K123" s="51" t="s">
        <v>73</v>
      </c>
      <c r="L123" s="48">
        <v>0.14000000000000001</v>
      </c>
      <c r="M123" s="48">
        <v>0.1</v>
      </c>
    </row>
    <row r="124" spans="1:13" x14ac:dyDescent="0.25">
      <c r="A124" s="37" t="s">
        <v>10</v>
      </c>
      <c r="B124" s="37" t="s">
        <v>343</v>
      </c>
      <c r="C124" s="38" t="s">
        <v>162</v>
      </c>
      <c r="D124" s="39" t="s">
        <v>77</v>
      </c>
      <c r="E124" s="40">
        <v>1000000</v>
      </c>
      <c r="F124" s="52">
        <v>1</v>
      </c>
      <c r="G124" s="52">
        <v>1</v>
      </c>
      <c r="H124" s="52">
        <v>1</v>
      </c>
      <c r="I124" s="53">
        <f>E124*H124</f>
        <v>1000000</v>
      </c>
      <c r="J124" s="42">
        <v>0.9</v>
      </c>
      <c r="K124" s="40">
        <f>I124-(I124*J124)</f>
        <v>100000</v>
      </c>
      <c r="L124" s="29"/>
      <c r="M124" s="29">
        <f>4953000+(4953000*M123)</f>
        <v>5448300</v>
      </c>
    </row>
    <row r="125" spans="1:13" x14ac:dyDescent="0.25">
      <c r="A125" s="37" t="s">
        <v>10</v>
      </c>
      <c r="B125" s="37" t="s">
        <v>78</v>
      </c>
      <c r="C125" s="38" t="s">
        <v>78</v>
      </c>
      <c r="D125" s="39" t="s">
        <v>79</v>
      </c>
      <c r="E125" s="40">
        <v>1000000</v>
      </c>
      <c r="F125" s="52">
        <v>1</v>
      </c>
      <c r="G125" s="52">
        <v>1</v>
      </c>
      <c r="H125" s="52">
        <v>1</v>
      </c>
      <c r="I125" s="53">
        <f t="shared" ref="I125:I127" si="30">E125*H125</f>
        <v>1000000</v>
      </c>
      <c r="J125" s="42">
        <v>0.45999999999999996</v>
      </c>
      <c r="K125" s="40">
        <f>I125-(I125*J125)</f>
        <v>540000</v>
      </c>
      <c r="L125" s="29">
        <f>2000000+(2000000*L123)</f>
        <v>2280000</v>
      </c>
    </row>
    <row r="126" spans="1:13" x14ac:dyDescent="0.25">
      <c r="A126" s="37" t="s">
        <v>10</v>
      </c>
      <c r="B126" s="37" t="s">
        <v>78</v>
      </c>
      <c r="C126" s="38" t="s">
        <v>78</v>
      </c>
      <c r="D126" s="43" t="s">
        <v>339</v>
      </c>
      <c r="E126" s="40">
        <v>900000</v>
      </c>
      <c r="F126" s="52">
        <v>1</v>
      </c>
      <c r="G126" s="52">
        <v>1</v>
      </c>
      <c r="H126" s="52">
        <v>1</v>
      </c>
      <c r="I126" s="53">
        <f t="shared" si="30"/>
        <v>900000</v>
      </c>
      <c r="J126" s="42">
        <v>0.8</v>
      </c>
      <c r="K126" s="40">
        <f t="shared" ref="K126:K127" si="31">I126-(I126*J126)</f>
        <v>180000</v>
      </c>
      <c r="L126" s="29">
        <f>2160000+(2160000*L123)</f>
        <v>2462400</v>
      </c>
    </row>
    <row r="127" spans="1:13" ht="15.75" thickBot="1" x14ac:dyDescent="0.3">
      <c r="A127" s="37" t="s">
        <v>10</v>
      </c>
      <c r="B127" s="37" t="s">
        <v>78</v>
      </c>
      <c r="C127" s="38" t="s">
        <v>78</v>
      </c>
      <c r="D127" s="43" t="s">
        <v>344</v>
      </c>
      <c r="E127" s="40">
        <v>900000</v>
      </c>
      <c r="F127" s="52">
        <v>1</v>
      </c>
      <c r="G127" s="52">
        <v>1</v>
      </c>
      <c r="H127" s="52">
        <v>1</v>
      </c>
      <c r="I127" s="53">
        <f t="shared" si="30"/>
        <v>900000</v>
      </c>
      <c r="J127" s="42">
        <v>0.8</v>
      </c>
      <c r="K127" s="40">
        <f t="shared" si="31"/>
        <v>180000</v>
      </c>
      <c r="L127" s="29">
        <f>6500000+(6500000*L123)</f>
        <v>7410000</v>
      </c>
    </row>
    <row r="128" spans="1:13" ht="15.75" x14ac:dyDescent="0.25">
      <c r="A128" s="57"/>
      <c r="B128" s="57"/>
      <c r="C128" s="57"/>
      <c r="D128" s="57"/>
      <c r="E128" s="57"/>
      <c r="F128" s="57"/>
      <c r="G128" s="57"/>
      <c r="H128" s="57"/>
      <c r="I128" s="58">
        <f>SUM(I124:I127)</f>
        <v>3800000</v>
      </c>
      <c r="J128" s="57"/>
      <c r="K128" s="59">
        <f>SUM(K124:K127)</f>
        <v>1000000</v>
      </c>
    </row>
    <row r="129" spans="1:13" ht="16.5" thickBot="1" x14ac:dyDescent="0.3">
      <c r="A129" s="44"/>
      <c r="B129" s="44"/>
      <c r="C129" s="44"/>
      <c r="D129" s="44"/>
      <c r="E129" s="44"/>
      <c r="F129" s="44"/>
      <c r="G129" s="44"/>
      <c r="H129" s="44"/>
      <c r="I129" s="191"/>
      <c r="J129" s="62"/>
      <c r="K129" s="62"/>
    </row>
    <row r="130" spans="1:13" ht="18.75" thickBot="1" x14ac:dyDescent="0.3">
      <c r="A130" s="400" t="s">
        <v>345</v>
      </c>
      <c r="B130" s="401"/>
      <c r="C130" s="401"/>
      <c r="D130" s="401"/>
      <c r="E130" s="401"/>
      <c r="F130" s="401"/>
      <c r="G130" s="401"/>
      <c r="H130" s="401"/>
      <c r="I130" s="401"/>
      <c r="J130" s="401"/>
      <c r="K130" s="401"/>
    </row>
    <row r="131" spans="1:13" ht="15.75" thickBot="1" x14ac:dyDescent="0.3">
      <c r="A131" s="49" t="s">
        <v>63</v>
      </c>
      <c r="B131" s="50" t="s">
        <v>64</v>
      </c>
      <c r="C131" s="50" t="s">
        <v>65</v>
      </c>
      <c r="D131" s="50" t="s">
        <v>66</v>
      </c>
      <c r="E131" s="50" t="s">
        <v>67</v>
      </c>
      <c r="F131" s="50" t="s">
        <v>94</v>
      </c>
      <c r="G131" s="50" t="s">
        <v>69</v>
      </c>
      <c r="H131" s="50" t="s">
        <v>70</v>
      </c>
      <c r="I131" s="50" t="s">
        <v>71</v>
      </c>
      <c r="J131" s="50" t="s">
        <v>72</v>
      </c>
      <c r="K131" s="51" t="s">
        <v>73</v>
      </c>
      <c r="L131" s="48">
        <v>0.14000000000000001</v>
      </c>
      <c r="M131" s="48">
        <v>0.1</v>
      </c>
    </row>
    <row r="132" spans="1:13" x14ac:dyDescent="0.25">
      <c r="A132" s="37" t="s">
        <v>10</v>
      </c>
      <c r="B132" s="37" t="s">
        <v>343</v>
      </c>
      <c r="C132" s="38" t="s">
        <v>162</v>
      </c>
      <c r="D132" s="39" t="s">
        <v>77</v>
      </c>
      <c r="E132" s="40">
        <v>1000000</v>
      </c>
      <c r="F132" s="52">
        <v>1</v>
      </c>
      <c r="G132" s="52">
        <v>1</v>
      </c>
      <c r="H132" s="52">
        <v>1</v>
      </c>
      <c r="I132" s="53">
        <f>E132*H132</f>
        <v>1000000</v>
      </c>
      <c r="J132" s="42">
        <v>0.9</v>
      </c>
      <c r="K132" s="40">
        <f>I132-(I132*J132)</f>
        <v>100000</v>
      </c>
      <c r="L132" s="29"/>
      <c r="M132" s="29">
        <f>4953000+(4953000*M131)</f>
        <v>5448300</v>
      </c>
    </row>
    <row r="133" spans="1:13" x14ac:dyDescent="0.25">
      <c r="A133" s="37" t="s">
        <v>10</v>
      </c>
      <c r="B133" s="37" t="s">
        <v>78</v>
      </c>
      <c r="C133" s="38" t="s">
        <v>78</v>
      </c>
      <c r="D133" s="39" t="s">
        <v>79</v>
      </c>
      <c r="E133" s="40">
        <v>1000000</v>
      </c>
      <c r="F133" s="52">
        <v>1</v>
      </c>
      <c r="G133" s="52">
        <v>1</v>
      </c>
      <c r="H133" s="52">
        <v>1</v>
      </c>
      <c r="I133" s="53">
        <f t="shared" ref="I133:I136" si="32">E133*H133</f>
        <v>1000000</v>
      </c>
      <c r="J133" s="42">
        <v>0.6</v>
      </c>
      <c r="K133" s="40">
        <f>I133-(I133*J133)</f>
        <v>400000</v>
      </c>
      <c r="L133" s="29">
        <f>2000000+(2000000*L131)</f>
        <v>2280000</v>
      </c>
    </row>
    <row r="134" spans="1:13" x14ac:dyDescent="0.25">
      <c r="A134" s="37" t="s">
        <v>10</v>
      </c>
      <c r="B134" s="37" t="s">
        <v>78</v>
      </c>
      <c r="C134" s="38" t="s">
        <v>78</v>
      </c>
      <c r="D134" s="43" t="s">
        <v>339</v>
      </c>
      <c r="E134" s="40">
        <v>900000</v>
      </c>
      <c r="F134" s="52">
        <v>1</v>
      </c>
      <c r="G134" s="52">
        <v>1</v>
      </c>
      <c r="H134" s="52">
        <v>1</v>
      </c>
      <c r="I134" s="53">
        <f t="shared" si="32"/>
        <v>900000</v>
      </c>
      <c r="J134" s="42">
        <v>0.8</v>
      </c>
      <c r="K134" s="40">
        <f t="shared" ref="K134:K135" si="33">I134-(I134*J134)</f>
        <v>180000</v>
      </c>
      <c r="L134" s="29">
        <f>2160000+(2160000*L131)</f>
        <v>2462400</v>
      </c>
    </row>
    <row r="135" spans="1:13" x14ac:dyDescent="0.25">
      <c r="A135" s="37" t="s">
        <v>10</v>
      </c>
      <c r="B135" s="37" t="s">
        <v>78</v>
      </c>
      <c r="C135" s="38" t="s">
        <v>78</v>
      </c>
      <c r="D135" s="43" t="s">
        <v>344</v>
      </c>
      <c r="E135" s="40">
        <v>900000</v>
      </c>
      <c r="F135" s="52">
        <v>1</v>
      </c>
      <c r="G135" s="52">
        <v>1</v>
      </c>
      <c r="H135" s="52">
        <v>1</v>
      </c>
      <c r="I135" s="53">
        <f t="shared" si="32"/>
        <v>900000</v>
      </c>
      <c r="J135" s="42">
        <v>0.8</v>
      </c>
      <c r="K135" s="40">
        <f t="shared" si="33"/>
        <v>180000</v>
      </c>
      <c r="L135" s="29">
        <f>6500000+(6500000*L131)</f>
        <v>7410000</v>
      </c>
    </row>
    <row r="136" spans="1:13" ht="15.75" thickBot="1" x14ac:dyDescent="0.3">
      <c r="A136" s="37" t="s">
        <v>10</v>
      </c>
      <c r="B136" s="37" t="s">
        <v>78</v>
      </c>
      <c r="C136" s="38" t="s">
        <v>78</v>
      </c>
      <c r="D136" s="54" t="s">
        <v>83</v>
      </c>
      <c r="E136" s="55">
        <v>1000000</v>
      </c>
      <c r="F136" s="52">
        <v>1</v>
      </c>
      <c r="G136" s="52">
        <v>1</v>
      </c>
      <c r="H136" s="52">
        <v>1</v>
      </c>
      <c r="I136" s="53">
        <f t="shared" si="32"/>
        <v>1000000</v>
      </c>
      <c r="J136" s="56">
        <v>0.55999999999999994</v>
      </c>
      <c r="K136" s="40">
        <f>I136-(I136*J136)</f>
        <v>440000</v>
      </c>
      <c r="L136" s="29">
        <f>4400000+(4400000*L131)</f>
        <v>5016000</v>
      </c>
    </row>
    <row r="137" spans="1:13" ht="15.75" x14ac:dyDescent="0.25">
      <c r="A137" s="57"/>
      <c r="B137" s="57"/>
      <c r="C137" s="57"/>
      <c r="D137" s="57"/>
      <c r="E137" s="57"/>
      <c r="F137" s="57"/>
      <c r="G137" s="57"/>
      <c r="H137" s="57"/>
      <c r="I137" s="58">
        <f>SUM(I132:I136)</f>
        <v>4800000</v>
      </c>
      <c r="J137" s="57"/>
      <c r="K137" s="59">
        <f>SUM(K132:K136)</f>
        <v>1300000</v>
      </c>
    </row>
    <row r="138" spans="1:13" ht="15.75" x14ac:dyDescent="0.25">
      <c r="A138" s="44"/>
      <c r="B138" s="44"/>
      <c r="C138" s="44"/>
      <c r="D138" s="44"/>
      <c r="E138" s="44"/>
      <c r="F138" s="44"/>
      <c r="G138" s="44"/>
      <c r="H138" s="44"/>
      <c r="I138" s="191"/>
      <c r="J138" s="62"/>
      <c r="K138" s="191"/>
    </row>
    <row r="139" spans="1:13" ht="16.5" thickBot="1" x14ac:dyDescent="0.3">
      <c r="A139" s="57"/>
      <c r="B139" s="57"/>
      <c r="C139" s="57"/>
      <c r="D139" s="57"/>
      <c r="E139" s="57"/>
      <c r="F139" s="57"/>
      <c r="G139" s="57"/>
      <c r="H139" s="57"/>
      <c r="I139" s="64"/>
      <c r="J139" s="57"/>
    </row>
    <row r="140" spans="1:13" ht="18.75" thickBot="1" x14ac:dyDescent="0.3">
      <c r="A140" s="399" t="s">
        <v>99</v>
      </c>
      <c r="B140" s="394"/>
      <c r="C140" s="394"/>
      <c r="D140" s="394"/>
      <c r="E140" s="394"/>
      <c r="F140" s="394"/>
      <c r="G140" s="394"/>
      <c r="H140" s="394"/>
      <c r="I140" s="394"/>
      <c r="J140" s="394"/>
      <c r="K140" s="395"/>
    </row>
    <row r="141" spans="1:13" ht="15.75" thickBot="1" x14ac:dyDescent="0.3">
      <c r="A141" s="33" t="s">
        <v>63</v>
      </c>
      <c r="B141" s="34" t="s">
        <v>64</v>
      </c>
      <c r="C141" s="34" t="s">
        <v>65</v>
      </c>
      <c r="D141" s="34" t="s">
        <v>66</v>
      </c>
      <c r="E141" s="34" t="s">
        <v>67</v>
      </c>
      <c r="F141" s="34" t="s">
        <v>68</v>
      </c>
      <c r="G141" s="34" t="s">
        <v>69</v>
      </c>
      <c r="H141" s="34" t="s">
        <v>70</v>
      </c>
      <c r="I141" s="35" t="s">
        <v>71</v>
      </c>
      <c r="J141" s="60" t="s">
        <v>72</v>
      </c>
      <c r="K141" s="36" t="s">
        <v>73</v>
      </c>
      <c r="L141" s="48">
        <v>0.14000000000000001</v>
      </c>
      <c r="M141" s="48">
        <v>0.2</v>
      </c>
    </row>
    <row r="142" spans="1:13" x14ac:dyDescent="0.25">
      <c r="A142" s="37" t="s">
        <v>11</v>
      </c>
      <c r="B142" s="37" t="s">
        <v>97</v>
      </c>
      <c r="C142" s="38" t="s">
        <v>87</v>
      </c>
      <c r="D142" s="39" t="s">
        <v>98</v>
      </c>
      <c r="E142" s="40">
        <f>M142</f>
        <v>3416400</v>
      </c>
      <c r="F142" s="41">
        <v>1</v>
      </c>
      <c r="G142" s="41">
        <v>1</v>
      </c>
      <c r="H142" s="40">
        <f>F142*G142</f>
        <v>1</v>
      </c>
      <c r="I142" s="40">
        <f>H142*E142</f>
        <v>3416400</v>
      </c>
      <c r="J142" s="61">
        <v>0.69741001608341191</v>
      </c>
      <c r="K142" s="40">
        <f>I142-(I142*J142)</f>
        <v>1033768.4210526315</v>
      </c>
      <c r="L142" s="29"/>
      <c r="M142" s="29">
        <f>2847000+(2847000*M141)</f>
        <v>3416400</v>
      </c>
    </row>
    <row r="143" spans="1:13" x14ac:dyDescent="0.25">
      <c r="A143" s="37" t="s">
        <v>11</v>
      </c>
      <c r="B143" s="37" t="s">
        <v>78</v>
      </c>
      <c r="C143" s="38" t="s">
        <v>78</v>
      </c>
      <c r="D143" s="39" t="s">
        <v>79</v>
      </c>
      <c r="E143" s="40">
        <f>L143</f>
        <v>2280000</v>
      </c>
      <c r="F143" s="41">
        <v>1</v>
      </c>
      <c r="G143" s="41">
        <v>1</v>
      </c>
      <c r="H143" s="40">
        <f t="shared" ref="H143:H145" si="34">F143*G143</f>
        <v>1</v>
      </c>
      <c r="I143" s="40">
        <f>H143*E143</f>
        <v>2280000</v>
      </c>
      <c r="J143" s="61">
        <v>0</v>
      </c>
      <c r="K143" s="40">
        <f t="shared" ref="K143:K145" si="35">I143-(I143*J143)</f>
        <v>2280000</v>
      </c>
      <c r="L143" s="29">
        <f>2000000+(2000000*L141)</f>
        <v>2280000</v>
      </c>
    </row>
    <row r="144" spans="1:13" x14ac:dyDescent="0.25">
      <c r="A144" s="37" t="s">
        <v>11</v>
      </c>
      <c r="B144" s="37" t="s">
        <v>78</v>
      </c>
      <c r="C144" s="38" t="s">
        <v>78</v>
      </c>
      <c r="D144" s="43" t="s">
        <v>80</v>
      </c>
      <c r="E144" s="40">
        <v>1700000</v>
      </c>
      <c r="F144" s="41">
        <v>1</v>
      </c>
      <c r="G144" s="41">
        <v>1</v>
      </c>
      <c r="H144" s="40">
        <f t="shared" si="34"/>
        <v>1</v>
      </c>
      <c r="I144" s="40">
        <f>H144*E144</f>
        <v>1700000</v>
      </c>
      <c r="J144" s="61">
        <v>0.2</v>
      </c>
      <c r="K144" s="40">
        <f t="shared" si="35"/>
        <v>1360000</v>
      </c>
      <c r="L144" s="29">
        <f>1500000+(1500000*L141)</f>
        <v>1710000</v>
      </c>
    </row>
    <row r="145" spans="1:13" ht="15.75" thickBot="1" x14ac:dyDescent="0.3">
      <c r="A145" s="37" t="s">
        <v>11</v>
      </c>
      <c r="B145" s="37" t="s">
        <v>78</v>
      </c>
      <c r="C145" s="38" t="s">
        <v>78</v>
      </c>
      <c r="D145" s="43" t="s">
        <v>81</v>
      </c>
      <c r="E145" s="40">
        <v>2500000</v>
      </c>
      <c r="F145" s="41">
        <v>1</v>
      </c>
      <c r="G145" s="41">
        <v>1</v>
      </c>
      <c r="H145" s="40">
        <f t="shared" si="34"/>
        <v>1</v>
      </c>
      <c r="I145" s="40">
        <f>H145*E145</f>
        <v>2500000</v>
      </c>
      <c r="J145" s="61">
        <v>0.18950736842105334</v>
      </c>
      <c r="K145" s="40">
        <f t="shared" si="35"/>
        <v>2026231.5789473667</v>
      </c>
      <c r="L145" s="29">
        <f>2160000+(2160000*L141)</f>
        <v>2462400</v>
      </c>
    </row>
    <row r="146" spans="1:13" ht="15.75" x14ac:dyDescent="0.25">
      <c r="A146" s="44"/>
      <c r="B146" s="44"/>
      <c r="C146" s="44"/>
      <c r="D146" s="44"/>
      <c r="E146" s="44"/>
      <c r="F146" s="44"/>
      <c r="G146" s="44"/>
      <c r="H146" s="44"/>
      <c r="I146" s="45">
        <f>SUM(I142:I145)</f>
        <v>9896400</v>
      </c>
      <c r="J146" s="62"/>
      <c r="K146" s="46">
        <f>SUM(K142:K145)</f>
        <v>6699999.9999999981</v>
      </c>
    </row>
    <row r="147" spans="1:13" ht="15.75" thickBot="1" x14ac:dyDescent="0.3">
      <c r="J147" s="63"/>
    </row>
    <row r="148" spans="1:13" ht="18.75" thickBot="1" x14ac:dyDescent="0.3">
      <c r="A148" s="393" t="s">
        <v>100</v>
      </c>
      <c r="B148" s="394"/>
      <c r="C148" s="394"/>
      <c r="D148" s="394"/>
      <c r="E148" s="394"/>
      <c r="F148" s="394"/>
      <c r="G148" s="394"/>
      <c r="H148" s="394"/>
      <c r="I148" s="394"/>
      <c r="J148" s="394"/>
      <c r="K148" s="395"/>
    </row>
    <row r="149" spans="1:13" ht="15.75" thickBot="1" x14ac:dyDescent="0.3">
      <c r="A149" s="33" t="s">
        <v>63</v>
      </c>
      <c r="B149" s="34" t="s">
        <v>64</v>
      </c>
      <c r="C149" s="34" t="s">
        <v>65</v>
      </c>
      <c r="D149" s="34" t="s">
        <v>66</v>
      </c>
      <c r="E149" s="34" t="s">
        <v>67</v>
      </c>
      <c r="F149" s="34" t="s">
        <v>68</v>
      </c>
      <c r="G149" s="34" t="s">
        <v>69</v>
      </c>
      <c r="H149" s="34" t="s">
        <v>70</v>
      </c>
      <c r="I149" s="35" t="s">
        <v>71</v>
      </c>
      <c r="J149" s="60" t="s">
        <v>72</v>
      </c>
      <c r="K149" s="36" t="s">
        <v>73</v>
      </c>
      <c r="L149" s="48">
        <v>0.14000000000000001</v>
      </c>
      <c r="M149" s="48">
        <v>0.2</v>
      </c>
    </row>
    <row r="150" spans="1:13" x14ac:dyDescent="0.25">
      <c r="A150" s="37" t="s">
        <v>11</v>
      </c>
      <c r="B150" s="37" t="s">
        <v>97</v>
      </c>
      <c r="C150" s="38" t="s">
        <v>87</v>
      </c>
      <c r="D150" s="39" t="s">
        <v>98</v>
      </c>
      <c r="E150" s="40">
        <f>M150</f>
        <v>3416400</v>
      </c>
      <c r="F150" s="41">
        <v>1</v>
      </c>
      <c r="G150" s="41">
        <v>1</v>
      </c>
      <c r="H150" s="40">
        <f>F150*G150</f>
        <v>1</v>
      </c>
      <c r="I150" s="40">
        <f>H150*E150</f>
        <v>3416400</v>
      </c>
      <c r="J150" s="61">
        <v>0.75</v>
      </c>
      <c r="K150" s="40">
        <f>I150-(I150*J150)</f>
        <v>854100</v>
      </c>
      <c r="L150" s="29"/>
      <c r="M150" s="29">
        <f>2847000+(2847000*M149)</f>
        <v>3416400</v>
      </c>
    </row>
    <row r="151" spans="1:13" x14ac:dyDescent="0.25">
      <c r="A151" s="37" t="s">
        <v>11</v>
      </c>
      <c r="B151" s="37" t="s">
        <v>78</v>
      </c>
      <c r="C151" s="38" t="s">
        <v>78</v>
      </c>
      <c r="D151" s="39" t="s">
        <v>79</v>
      </c>
      <c r="E151" s="40">
        <f>L151</f>
        <v>2280000</v>
      </c>
      <c r="F151" s="41">
        <v>1</v>
      </c>
      <c r="G151" s="41">
        <v>1</v>
      </c>
      <c r="H151" s="40">
        <f t="shared" ref="H151:H154" si="36">F151*G151</f>
        <v>1</v>
      </c>
      <c r="I151" s="40">
        <f>H151*E151</f>
        <v>2280000</v>
      </c>
      <c r="J151" s="61">
        <v>0</v>
      </c>
      <c r="K151" s="40">
        <f t="shared" ref="K151:K154" si="37">I151-(I151*J151)</f>
        <v>2280000</v>
      </c>
      <c r="L151" s="29">
        <f>2000000+(2000000*L149)</f>
        <v>2280000</v>
      </c>
    </row>
    <row r="152" spans="1:13" x14ac:dyDescent="0.25">
      <c r="A152" s="37" t="s">
        <v>11</v>
      </c>
      <c r="B152" s="37" t="s">
        <v>78</v>
      </c>
      <c r="C152" s="38" t="s">
        <v>78</v>
      </c>
      <c r="D152" s="43" t="s">
        <v>80</v>
      </c>
      <c r="E152" s="40">
        <v>1700000</v>
      </c>
      <c r="F152" s="41">
        <v>1</v>
      </c>
      <c r="G152" s="41">
        <v>1</v>
      </c>
      <c r="H152" s="40">
        <f t="shared" si="36"/>
        <v>1</v>
      </c>
      <c r="I152" s="40">
        <f>H152*E152</f>
        <v>1700000</v>
      </c>
      <c r="J152" s="61">
        <v>0.3</v>
      </c>
      <c r="K152" s="40">
        <f t="shared" si="37"/>
        <v>1190000</v>
      </c>
      <c r="L152" s="29">
        <f>1500000+(1500000*L149)</f>
        <v>1710000</v>
      </c>
    </row>
    <row r="153" spans="1:13" x14ac:dyDescent="0.25">
      <c r="A153" s="37" t="s">
        <v>11</v>
      </c>
      <c r="B153" s="37" t="s">
        <v>78</v>
      </c>
      <c r="C153" s="38" t="s">
        <v>78</v>
      </c>
      <c r="D153" s="43" t="s">
        <v>81</v>
      </c>
      <c r="E153" s="40">
        <v>2500000</v>
      </c>
      <c r="F153" s="41">
        <v>1</v>
      </c>
      <c r="G153" s="41">
        <v>1</v>
      </c>
      <c r="H153" s="40">
        <f t="shared" si="36"/>
        <v>1</v>
      </c>
      <c r="I153" s="40">
        <f>H153*E153</f>
        <v>2500000</v>
      </c>
      <c r="J153" s="61">
        <v>0.32481000000000043</v>
      </c>
      <c r="K153" s="40">
        <f t="shared" si="37"/>
        <v>1687974.9999999991</v>
      </c>
      <c r="L153" s="29">
        <f>2160000+(2160000*L149)</f>
        <v>2462400</v>
      </c>
    </row>
    <row r="154" spans="1:13" ht="15.75" thickBot="1" x14ac:dyDescent="0.3">
      <c r="A154" s="37" t="s">
        <v>11</v>
      </c>
      <c r="B154" s="37" t="s">
        <v>78</v>
      </c>
      <c r="C154" s="38" t="s">
        <v>78</v>
      </c>
      <c r="D154" s="39" t="s">
        <v>82</v>
      </c>
      <c r="E154" s="40">
        <f>L154</f>
        <v>2736000</v>
      </c>
      <c r="F154" s="41">
        <v>1</v>
      </c>
      <c r="G154" s="41">
        <v>1</v>
      </c>
      <c r="H154" s="40">
        <f t="shared" si="36"/>
        <v>1</v>
      </c>
      <c r="I154" s="40">
        <f>H154*E154</f>
        <v>2736000</v>
      </c>
      <c r="J154" s="61">
        <v>1.7571271929824561E-2</v>
      </c>
      <c r="K154" s="40">
        <f t="shared" si="37"/>
        <v>2687925</v>
      </c>
      <c r="L154" s="29">
        <f>2400000+(2400000*L149)</f>
        <v>2736000</v>
      </c>
    </row>
    <row r="155" spans="1:13" ht="15.75" x14ac:dyDescent="0.25">
      <c r="A155" s="44"/>
      <c r="B155" s="44"/>
      <c r="C155" s="44"/>
      <c r="D155" s="44"/>
      <c r="E155" s="44"/>
      <c r="F155" s="44"/>
      <c r="G155" s="44"/>
      <c r="H155" s="44"/>
      <c r="I155" s="45">
        <f>SUM(I150:I154)</f>
        <v>12632400</v>
      </c>
      <c r="J155" s="62"/>
      <c r="K155" s="46">
        <f>SUM(K150:K154)</f>
        <v>8700000</v>
      </c>
    </row>
    <row r="156" spans="1:13" ht="15.75" thickBot="1" x14ac:dyDescent="0.3">
      <c r="J156" s="63"/>
    </row>
    <row r="157" spans="1:13" ht="18.75" thickBot="1" x14ac:dyDescent="0.3">
      <c r="A157" s="393" t="s">
        <v>101</v>
      </c>
      <c r="B157" s="394"/>
      <c r="C157" s="394"/>
      <c r="D157" s="394"/>
      <c r="E157" s="394"/>
      <c r="F157" s="394"/>
      <c r="G157" s="394"/>
      <c r="H157" s="394"/>
      <c r="I157" s="394"/>
      <c r="J157" s="394"/>
      <c r="K157" s="395"/>
    </row>
    <row r="158" spans="1:13" ht="15.75" thickBot="1" x14ac:dyDescent="0.3">
      <c r="A158" s="33" t="s">
        <v>63</v>
      </c>
      <c r="B158" s="34" t="s">
        <v>64</v>
      </c>
      <c r="C158" s="34" t="s">
        <v>65</v>
      </c>
      <c r="D158" s="34" t="s">
        <v>66</v>
      </c>
      <c r="E158" s="34" t="s">
        <v>67</v>
      </c>
      <c r="F158" s="34" t="s">
        <v>68</v>
      </c>
      <c r="G158" s="34" t="s">
        <v>69</v>
      </c>
      <c r="H158" s="34" t="s">
        <v>70</v>
      </c>
      <c r="I158" s="35" t="s">
        <v>71</v>
      </c>
      <c r="J158" s="60" t="s">
        <v>72</v>
      </c>
      <c r="K158" s="36" t="s">
        <v>73</v>
      </c>
      <c r="L158" s="48">
        <v>0.14000000000000001</v>
      </c>
      <c r="M158" s="48">
        <v>0.2</v>
      </c>
    </row>
    <row r="159" spans="1:13" x14ac:dyDescent="0.25">
      <c r="A159" s="37" t="s">
        <v>11</v>
      </c>
      <c r="B159" s="37" t="s">
        <v>97</v>
      </c>
      <c r="C159" s="38" t="s">
        <v>87</v>
      </c>
      <c r="D159" s="39" t="s">
        <v>98</v>
      </c>
      <c r="E159" s="40">
        <f>M159</f>
        <v>3416400</v>
      </c>
      <c r="F159" s="41">
        <v>1</v>
      </c>
      <c r="G159" s="41">
        <v>1</v>
      </c>
      <c r="H159" s="40">
        <f>F159*G159</f>
        <v>1</v>
      </c>
      <c r="I159" s="40">
        <f>H159*E159</f>
        <v>3416400</v>
      </c>
      <c r="J159" s="61">
        <v>0.8</v>
      </c>
      <c r="K159" s="40">
        <f>I159-(I159*J159)</f>
        <v>683280</v>
      </c>
      <c r="L159" s="29"/>
      <c r="M159" s="29">
        <f>2847000+(2847000*M158)</f>
        <v>3416400</v>
      </c>
    </row>
    <row r="160" spans="1:13" x14ac:dyDescent="0.25">
      <c r="A160" s="37" t="s">
        <v>11</v>
      </c>
      <c r="B160" s="37" t="s">
        <v>78</v>
      </c>
      <c r="C160" s="38" t="s">
        <v>78</v>
      </c>
      <c r="D160" s="39" t="s">
        <v>79</v>
      </c>
      <c r="E160" s="40">
        <f>L160</f>
        <v>2280000</v>
      </c>
      <c r="F160" s="41">
        <v>1</v>
      </c>
      <c r="G160" s="41">
        <v>1</v>
      </c>
      <c r="H160" s="40">
        <f t="shared" ref="H160:H163" si="38">F160*G160</f>
        <v>1</v>
      </c>
      <c r="I160" s="40">
        <f>H160*E160</f>
        <v>2280000</v>
      </c>
      <c r="J160" s="61">
        <v>0</v>
      </c>
      <c r="K160" s="40">
        <f t="shared" ref="K160:K163" si="39">I160-(I160*J160)</f>
        <v>2280000</v>
      </c>
      <c r="L160" s="29">
        <f>2000000+(2000000*L158)</f>
        <v>2280000</v>
      </c>
    </row>
    <row r="161" spans="1:13" x14ac:dyDescent="0.25">
      <c r="A161" s="37" t="s">
        <v>11</v>
      </c>
      <c r="B161" s="37" t="s">
        <v>78</v>
      </c>
      <c r="C161" s="38" t="s">
        <v>78</v>
      </c>
      <c r="D161" s="43" t="s">
        <v>80</v>
      </c>
      <c r="E161" s="40">
        <v>1700000</v>
      </c>
      <c r="F161" s="41">
        <v>1</v>
      </c>
      <c r="G161" s="41">
        <v>1</v>
      </c>
      <c r="H161" s="40">
        <f t="shared" si="38"/>
        <v>1</v>
      </c>
      <c r="I161" s="40">
        <f>H161*E161</f>
        <v>1700000</v>
      </c>
      <c r="J161" s="61">
        <v>0.35</v>
      </c>
      <c r="K161" s="40">
        <f t="shared" si="39"/>
        <v>1105000</v>
      </c>
      <c r="L161" s="29">
        <f>1500000+(1500000*L158)</f>
        <v>1710000</v>
      </c>
    </row>
    <row r="162" spans="1:13" x14ac:dyDescent="0.25">
      <c r="A162" s="37" t="s">
        <v>11</v>
      </c>
      <c r="B162" s="37" t="s">
        <v>78</v>
      </c>
      <c r="C162" s="38" t="s">
        <v>78</v>
      </c>
      <c r="D162" s="43" t="s">
        <v>81</v>
      </c>
      <c r="E162" s="40">
        <v>2500000</v>
      </c>
      <c r="F162" s="41">
        <v>1</v>
      </c>
      <c r="G162" s="41">
        <v>1</v>
      </c>
      <c r="H162" s="40">
        <f t="shared" si="38"/>
        <v>1</v>
      </c>
      <c r="I162" s="40">
        <f>H162*E162</f>
        <v>2500000</v>
      </c>
      <c r="J162" s="61">
        <v>0.3308415999999999</v>
      </c>
      <c r="K162" s="40">
        <f t="shared" si="39"/>
        <v>1672896.0000000002</v>
      </c>
      <c r="L162" s="29">
        <f>2160000+(2160000*L158)</f>
        <v>2462400</v>
      </c>
    </row>
    <row r="163" spans="1:13" ht="15.75" thickBot="1" x14ac:dyDescent="0.3">
      <c r="A163" s="37" t="s">
        <v>11</v>
      </c>
      <c r="B163" s="37" t="s">
        <v>78</v>
      </c>
      <c r="C163" s="38" t="s">
        <v>78</v>
      </c>
      <c r="D163" s="39" t="s">
        <v>83</v>
      </c>
      <c r="E163" s="40">
        <f>L163</f>
        <v>5016000</v>
      </c>
      <c r="F163" s="41">
        <v>1</v>
      </c>
      <c r="G163" s="41">
        <v>1</v>
      </c>
      <c r="H163" s="40">
        <f t="shared" si="38"/>
        <v>1</v>
      </c>
      <c r="I163" s="40">
        <f>H163*E163</f>
        <v>5016000</v>
      </c>
      <c r="J163" s="61">
        <v>1.139872408293461E-2</v>
      </c>
      <c r="K163" s="40">
        <f t="shared" si="39"/>
        <v>4958824</v>
      </c>
      <c r="L163" s="29">
        <f>4400000+(4400000*L158)</f>
        <v>5016000</v>
      </c>
    </row>
    <row r="164" spans="1:13" ht="15.75" x14ac:dyDescent="0.25">
      <c r="A164" s="44"/>
      <c r="B164" s="44"/>
      <c r="C164" s="44"/>
      <c r="D164" s="44"/>
      <c r="E164" s="44"/>
      <c r="F164" s="44"/>
      <c r="G164" s="44"/>
      <c r="H164" s="44"/>
      <c r="I164" s="45">
        <f>SUM(I159:I163)</f>
        <v>14912400</v>
      </c>
      <c r="J164" s="62"/>
      <c r="K164" s="46">
        <f>SUM(K159:K163)</f>
        <v>10700000</v>
      </c>
    </row>
    <row r="166" spans="1:13" ht="18.75" hidden="1" thickBot="1" x14ac:dyDescent="0.3">
      <c r="A166" s="396" t="s">
        <v>184</v>
      </c>
      <c r="B166" s="397"/>
      <c r="C166" s="397"/>
      <c r="D166" s="397"/>
      <c r="E166" s="397"/>
      <c r="F166" s="397"/>
      <c r="G166" s="397"/>
      <c r="H166" s="397"/>
      <c r="I166" s="397"/>
      <c r="J166" s="397"/>
      <c r="K166" s="398"/>
    </row>
    <row r="167" spans="1:13" ht="15.75" hidden="1" thickBot="1" x14ac:dyDescent="0.3">
      <c r="A167" s="134" t="s">
        <v>63</v>
      </c>
      <c r="B167" s="135" t="s">
        <v>64</v>
      </c>
      <c r="C167" s="135" t="s">
        <v>65</v>
      </c>
      <c r="D167" s="135" t="s">
        <v>66</v>
      </c>
      <c r="E167" s="135" t="s">
        <v>67</v>
      </c>
      <c r="F167" s="135" t="s">
        <v>68</v>
      </c>
      <c r="G167" s="135" t="s">
        <v>69</v>
      </c>
      <c r="H167" s="135" t="s">
        <v>70</v>
      </c>
      <c r="I167" s="136" t="s">
        <v>71</v>
      </c>
      <c r="J167" s="137" t="s">
        <v>72</v>
      </c>
      <c r="K167" s="138" t="s">
        <v>73</v>
      </c>
      <c r="L167" s="48">
        <v>0.14000000000000001</v>
      </c>
      <c r="M167" s="48">
        <v>0.2</v>
      </c>
    </row>
    <row r="168" spans="1:13" hidden="1" x14ac:dyDescent="0.25">
      <c r="A168" s="37" t="s">
        <v>11</v>
      </c>
      <c r="B168" s="37" t="s">
        <v>97</v>
      </c>
      <c r="C168" s="139" t="s">
        <v>87</v>
      </c>
      <c r="D168" s="39" t="s">
        <v>98</v>
      </c>
      <c r="E168" s="40">
        <f>M168</f>
        <v>3416400</v>
      </c>
      <c r="F168" s="41">
        <v>1</v>
      </c>
      <c r="G168" s="41">
        <v>1</v>
      </c>
      <c r="H168" s="40">
        <f>F168*G168</f>
        <v>1</v>
      </c>
      <c r="I168" s="40">
        <f>H168*E168</f>
        <v>3416400</v>
      </c>
      <c r="J168" s="61">
        <v>0.8</v>
      </c>
      <c r="K168" s="40">
        <f>I168-(I168*J168)</f>
        <v>683280</v>
      </c>
      <c r="L168" s="29"/>
      <c r="M168" s="29">
        <f>2847000+(2847000*M167)</f>
        <v>3416400</v>
      </c>
    </row>
    <row r="169" spans="1:13" hidden="1" x14ac:dyDescent="0.25">
      <c r="A169" s="37" t="s">
        <v>11</v>
      </c>
      <c r="B169" s="37" t="s">
        <v>78</v>
      </c>
      <c r="C169" s="139" t="s">
        <v>78</v>
      </c>
      <c r="D169" s="39" t="s">
        <v>79</v>
      </c>
      <c r="E169" s="40">
        <f>L169</f>
        <v>2280000</v>
      </c>
      <c r="F169" s="41">
        <v>1</v>
      </c>
      <c r="G169" s="41">
        <v>1</v>
      </c>
      <c r="H169" s="40">
        <f t="shared" ref="H169:H172" si="40">F169*G169</f>
        <v>1</v>
      </c>
      <c r="I169" s="40">
        <f>H169*E169</f>
        <v>2280000</v>
      </c>
      <c r="J169" s="61">
        <v>0</v>
      </c>
      <c r="K169" s="40">
        <f t="shared" ref="K169:K172" si="41">I169-(I169*J169)</f>
        <v>2280000</v>
      </c>
      <c r="L169" s="29">
        <f>2000000+(2000000*L167)</f>
        <v>2280000</v>
      </c>
    </row>
    <row r="170" spans="1:13" hidden="1" x14ac:dyDescent="0.25">
      <c r="A170" s="37" t="s">
        <v>11</v>
      </c>
      <c r="B170" s="37" t="s">
        <v>78</v>
      </c>
      <c r="C170" s="139" t="s">
        <v>78</v>
      </c>
      <c r="D170" s="43" t="s">
        <v>80</v>
      </c>
      <c r="E170" s="40">
        <f>L170</f>
        <v>1710000</v>
      </c>
      <c r="F170" s="41">
        <v>1</v>
      </c>
      <c r="G170" s="41">
        <v>1</v>
      </c>
      <c r="H170" s="40">
        <f t="shared" si="40"/>
        <v>1</v>
      </c>
      <c r="I170" s="40">
        <f>H170*E170</f>
        <v>1710000</v>
      </c>
      <c r="J170" s="61">
        <v>0.35</v>
      </c>
      <c r="K170" s="40">
        <f t="shared" si="41"/>
        <v>1111500</v>
      </c>
      <c r="L170" s="29">
        <f>1500000+(1500000*L167)</f>
        <v>1710000</v>
      </c>
    </row>
    <row r="171" spans="1:13" hidden="1" x14ac:dyDescent="0.25">
      <c r="A171" s="37" t="s">
        <v>11</v>
      </c>
      <c r="B171" s="37" t="s">
        <v>78</v>
      </c>
      <c r="C171" s="139" t="s">
        <v>78</v>
      </c>
      <c r="D171" s="43" t="s">
        <v>81</v>
      </c>
      <c r="E171" s="40">
        <f>L171</f>
        <v>2462400</v>
      </c>
      <c r="F171" s="41">
        <v>1</v>
      </c>
      <c r="G171" s="41">
        <v>1</v>
      </c>
      <c r="H171" s="40">
        <f t="shared" si="40"/>
        <v>1</v>
      </c>
      <c r="I171" s="40">
        <f>H171*E171</f>
        <v>2462400</v>
      </c>
      <c r="J171" s="61">
        <v>0.32326348278102773</v>
      </c>
      <c r="K171" s="40">
        <f t="shared" si="41"/>
        <v>1666395.9999999972</v>
      </c>
      <c r="L171" s="29">
        <f>2160000+(2160000*L167)</f>
        <v>2462400</v>
      </c>
    </row>
    <row r="172" spans="1:13" ht="15.75" hidden="1" thickBot="1" x14ac:dyDescent="0.3">
      <c r="A172" s="37" t="s">
        <v>11</v>
      </c>
      <c r="B172" s="37" t="s">
        <v>78</v>
      </c>
      <c r="C172" s="139" t="s">
        <v>78</v>
      </c>
      <c r="D172" s="39" t="s">
        <v>185</v>
      </c>
      <c r="E172" s="40">
        <v>8000000</v>
      </c>
      <c r="F172" s="41">
        <v>1</v>
      </c>
      <c r="G172" s="41">
        <v>1</v>
      </c>
      <c r="H172" s="40">
        <f t="shared" si="40"/>
        <v>1</v>
      </c>
      <c r="I172" s="40">
        <f>H172*E172</f>
        <v>8000000</v>
      </c>
      <c r="J172" s="61">
        <v>5.1470000000000005E-3</v>
      </c>
      <c r="K172" s="40">
        <f t="shared" si="41"/>
        <v>7958824</v>
      </c>
      <c r="L172" s="29">
        <f>4400000+(4400000*L167)</f>
        <v>5016000</v>
      </c>
    </row>
    <row r="173" spans="1:13" ht="15.75" hidden="1" x14ac:dyDescent="0.25">
      <c r="A173" s="44"/>
      <c r="B173" s="44"/>
      <c r="C173" s="44"/>
      <c r="D173" s="44"/>
      <c r="E173" s="44"/>
      <c r="F173" s="44"/>
      <c r="G173" s="44"/>
      <c r="H173" s="44"/>
      <c r="I173" s="45">
        <f>SUM(I168:I172)</f>
        <v>17868800</v>
      </c>
      <c r="J173" s="62"/>
      <c r="K173" s="46">
        <f>SUM(K168:K172)</f>
        <v>13699999.999999996</v>
      </c>
    </row>
    <row r="174" spans="1:13" ht="15.75" thickBot="1" x14ac:dyDescent="0.3"/>
    <row r="175" spans="1:13" ht="18.75" thickBot="1" x14ac:dyDescent="0.3">
      <c r="A175" s="400" t="s">
        <v>351</v>
      </c>
      <c r="B175" s="401"/>
      <c r="C175" s="401"/>
      <c r="D175" s="401"/>
      <c r="E175" s="401"/>
      <c r="F175" s="401"/>
      <c r="G175" s="401"/>
      <c r="H175" s="401"/>
      <c r="I175" s="401"/>
      <c r="J175" s="401"/>
      <c r="K175" s="401"/>
    </row>
    <row r="176" spans="1:13" ht="15.75" thickBot="1" x14ac:dyDescent="0.3">
      <c r="A176" s="49" t="s">
        <v>63</v>
      </c>
      <c r="B176" s="50" t="s">
        <v>64</v>
      </c>
      <c r="C176" s="50" t="s">
        <v>65</v>
      </c>
      <c r="D176" s="50" t="s">
        <v>66</v>
      </c>
      <c r="E176" s="50" t="s">
        <v>67</v>
      </c>
      <c r="F176" s="50" t="s">
        <v>94</v>
      </c>
      <c r="G176" s="50" t="s">
        <v>69</v>
      </c>
      <c r="H176" s="50" t="s">
        <v>70</v>
      </c>
      <c r="I176" s="50" t="s">
        <v>71</v>
      </c>
      <c r="J176" s="50" t="s">
        <v>72</v>
      </c>
      <c r="K176" s="51" t="s">
        <v>73</v>
      </c>
      <c r="L176" s="48">
        <v>0.14000000000000001</v>
      </c>
      <c r="M176" s="48">
        <v>0.1</v>
      </c>
    </row>
    <row r="177" spans="1:13" x14ac:dyDescent="0.25">
      <c r="A177" s="37" t="s">
        <v>11</v>
      </c>
      <c r="B177" s="37" t="s">
        <v>343</v>
      </c>
      <c r="C177" s="38" t="s">
        <v>162</v>
      </c>
      <c r="D177" s="39" t="s">
        <v>77</v>
      </c>
      <c r="E177" s="40">
        <v>1000000</v>
      </c>
      <c r="F177" s="52">
        <v>1</v>
      </c>
      <c r="G177" s="52">
        <v>1</v>
      </c>
      <c r="H177" s="52">
        <v>1</v>
      </c>
      <c r="I177" s="53">
        <f>E177*H177</f>
        <v>1000000</v>
      </c>
      <c r="J177" s="42">
        <v>0.9</v>
      </c>
      <c r="K177" s="40">
        <f>I177-(I177*J177)</f>
        <v>100000</v>
      </c>
      <c r="L177" s="29"/>
      <c r="M177" s="29">
        <f>4953000+(4953000*M176)</f>
        <v>5448300</v>
      </c>
    </row>
    <row r="178" spans="1:13" x14ac:dyDescent="0.25">
      <c r="A178" s="37" t="s">
        <v>11</v>
      </c>
      <c r="B178" s="37" t="s">
        <v>78</v>
      </c>
      <c r="C178" s="38" t="s">
        <v>78</v>
      </c>
      <c r="D178" s="39" t="s">
        <v>79</v>
      </c>
      <c r="E178" s="40">
        <v>1000000</v>
      </c>
      <c r="F178" s="52">
        <v>1</v>
      </c>
      <c r="G178" s="52">
        <v>1</v>
      </c>
      <c r="H178" s="52">
        <v>1</v>
      </c>
      <c r="I178" s="53">
        <f t="shared" ref="I178:I180" si="42">E178*H178</f>
        <v>1000000</v>
      </c>
      <c r="J178" s="42">
        <v>0.45999999999999996</v>
      </c>
      <c r="K178" s="40">
        <f>I178-(I178*J178)</f>
        <v>540000</v>
      </c>
      <c r="L178" s="29">
        <f>2000000+(2000000*L176)</f>
        <v>2280000</v>
      </c>
    </row>
    <row r="179" spans="1:13" x14ac:dyDescent="0.25">
      <c r="A179" s="37" t="s">
        <v>11</v>
      </c>
      <c r="B179" s="37" t="s">
        <v>78</v>
      </c>
      <c r="C179" s="38" t="s">
        <v>78</v>
      </c>
      <c r="D179" s="43" t="s">
        <v>339</v>
      </c>
      <c r="E179" s="40">
        <v>900000</v>
      </c>
      <c r="F179" s="52">
        <v>1</v>
      </c>
      <c r="G179" s="52">
        <v>1</v>
      </c>
      <c r="H179" s="52">
        <v>1</v>
      </c>
      <c r="I179" s="53">
        <f t="shared" si="42"/>
        <v>900000</v>
      </c>
      <c r="J179" s="42">
        <v>0.8</v>
      </c>
      <c r="K179" s="40">
        <f t="shared" ref="K179:K180" si="43">I179-(I179*J179)</f>
        <v>180000</v>
      </c>
      <c r="L179" s="29">
        <f>2160000+(2160000*L176)</f>
        <v>2462400</v>
      </c>
    </row>
    <row r="180" spans="1:13" ht="15.75" thickBot="1" x14ac:dyDescent="0.3">
      <c r="A180" s="37" t="s">
        <v>11</v>
      </c>
      <c r="B180" s="37" t="s">
        <v>78</v>
      </c>
      <c r="C180" s="38" t="s">
        <v>78</v>
      </c>
      <c r="D180" s="43" t="s">
        <v>344</v>
      </c>
      <c r="E180" s="40">
        <v>900000</v>
      </c>
      <c r="F180" s="52">
        <v>1</v>
      </c>
      <c r="G180" s="52">
        <v>1</v>
      </c>
      <c r="H180" s="52">
        <v>1</v>
      </c>
      <c r="I180" s="53">
        <f t="shared" si="42"/>
        <v>900000</v>
      </c>
      <c r="J180" s="42">
        <v>0.8</v>
      </c>
      <c r="K180" s="40">
        <f t="shared" si="43"/>
        <v>180000</v>
      </c>
      <c r="L180" s="29">
        <f>6500000+(6500000*L176)</f>
        <v>7410000</v>
      </c>
    </row>
    <row r="181" spans="1:13" ht="15.75" x14ac:dyDescent="0.25">
      <c r="A181" s="57"/>
      <c r="B181" s="57"/>
      <c r="C181" s="57"/>
      <c r="D181" s="57"/>
      <c r="E181" s="57"/>
      <c r="F181" s="57"/>
      <c r="G181" s="57"/>
      <c r="H181" s="57"/>
      <c r="I181" s="58">
        <f>SUM(I177:I180)</f>
        <v>3800000</v>
      </c>
      <c r="J181" s="57"/>
      <c r="K181" s="59">
        <f>SUM(K177:K180)</f>
        <v>1000000</v>
      </c>
    </row>
    <row r="182" spans="1:13" ht="16.5" thickBot="1" x14ac:dyDescent="0.3">
      <c r="A182" s="44"/>
      <c r="B182" s="44"/>
      <c r="C182" s="44"/>
      <c r="D182" s="44"/>
      <c r="E182" s="44"/>
      <c r="F182" s="44"/>
      <c r="G182" s="44"/>
      <c r="H182" s="44"/>
      <c r="I182" s="191"/>
      <c r="J182" s="62"/>
      <c r="K182" s="62"/>
    </row>
    <row r="183" spans="1:13" ht="18.75" thickBot="1" x14ac:dyDescent="0.3">
      <c r="A183" s="400" t="s">
        <v>352</v>
      </c>
      <c r="B183" s="401"/>
      <c r="C183" s="401"/>
      <c r="D183" s="401"/>
      <c r="E183" s="401"/>
      <c r="F183" s="401"/>
      <c r="G183" s="401"/>
      <c r="H183" s="401"/>
      <c r="I183" s="401"/>
      <c r="J183" s="401"/>
      <c r="K183" s="401"/>
    </row>
    <row r="184" spans="1:13" ht="15.75" thickBot="1" x14ac:dyDescent="0.3">
      <c r="A184" s="49" t="s">
        <v>63</v>
      </c>
      <c r="B184" s="50" t="s">
        <v>64</v>
      </c>
      <c r="C184" s="50" t="s">
        <v>65</v>
      </c>
      <c r="D184" s="50" t="s">
        <v>66</v>
      </c>
      <c r="E184" s="50" t="s">
        <v>67</v>
      </c>
      <c r="F184" s="50" t="s">
        <v>94</v>
      </c>
      <c r="G184" s="50" t="s">
        <v>69</v>
      </c>
      <c r="H184" s="50" t="s">
        <v>70</v>
      </c>
      <c r="I184" s="50" t="s">
        <v>71</v>
      </c>
      <c r="J184" s="50" t="s">
        <v>72</v>
      </c>
      <c r="K184" s="51" t="s">
        <v>73</v>
      </c>
      <c r="L184" s="48">
        <v>0.14000000000000001</v>
      </c>
      <c r="M184" s="48">
        <v>0.1</v>
      </c>
    </row>
    <row r="185" spans="1:13" x14ac:dyDescent="0.25">
      <c r="A185" s="37" t="s">
        <v>11</v>
      </c>
      <c r="B185" s="37" t="s">
        <v>343</v>
      </c>
      <c r="C185" s="38" t="s">
        <v>162</v>
      </c>
      <c r="D185" s="39" t="s">
        <v>77</v>
      </c>
      <c r="E185" s="40">
        <v>1000000</v>
      </c>
      <c r="F185" s="52">
        <v>1</v>
      </c>
      <c r="G185" s="52">
        <v>1</v>
      </c>
      <c r="H185" s="52">
        <v>1</v>
      </c>
      <c r="I185" s="53">
        <f>E185*H185</f>
        <v>1000000</v>
      </c>
      <c r="J185" s="42">
        <v>0.9</v>
      </c>
      <c r="K185" s="40">
        <f>I185-(I185*J185)</f>
        <v>100000</v>
      </c>
      <c r="L185" s="29"/>
      <c r="M185" s="29">
        <f>4953000+(4953000*M184)</f>
        <v>5448300</v>
      </c>
    </row>
    <row r="186" spans="1:13" x14ac:dyDescent="0.25">
      <c r="A186" s="37" t="s">
        <v>11</v>
      </c>
      <c r="B186" s="37" t="s">
        <v>78</v>
      </c>
      <c r="C186" s="38" t="s">
        <v>78</v>
      </c>
      <c r="D186" s="39" t="s">
        <v>79</v>
      </c>
      <c r="E186" s="40">
        <v>1000000</v>
      </c>
      <c r="F186" s="52">
        <v>1</v>
      </c>
      <c r="G186" s="52">
        <v>1</v>
      </c>
      <c r="H186" s="52">
        <v>1</v>
      </c>
      <c r="I186" s="53">
        <f t="shared" ref="I186:I189" si="44">E186*H186</f>
        <v>1000000</v>
      </c>
      <c r="J186" s="42">
        <v>0.6</v>
      </c>
      <c r="K186" s="40">
        <f>I186-(I186*J186)</f>
        <v>400000</v>
      </c>
      <c r="L186" s="29">
        <f>2000000+(2000000*L184)</f>
        <v>2280000</v>
      </c>
    </row>
    <row r="187" spans="1:13" x14ac:dyDescent="0.25">
      <c r="A187" s="37" t="s">
        <v>11</v>
      </c>
      <c r="B187" s="37" t="s">
        <v>78</v>
      </c>
      <c r="C187" s="38" t="s">
        <v>78</v>
      </c>
      <c r="D187" s="43" t="s">
        <v>339</v>
      </c>
      <c r="E187" s="40">
        <v>900000</v>
      </c>
      <c r="F187" s="52">
        <v>1</v>
      </c>
      <c r="G187" s="52">
        <v>1</v>
      </c>
      <c r="H187" s="52">
        <v>1</v>
      </c>
      <c r="I187" s="53">
        <f t="shared" si="44"/>
        <v>900000</v>
      </c>
      <c r="J187" s="42">
        <v>0.8</v>
      </c>
      <c r="K187" s="40">
        <f t="shared" ref="K187:K188" si="45">I187-(I187*J187)</f>
        <v>180000</v>
      </c>
      <c r="L187" s="29">
        <f>2160000+(2160000*L184)</f>
        <v>2462400</v>
      </c>
    </row>
    <row r="188" spans="1:13" x14ac:dyDescent="0.25">
      <c r="A188" s="37" t="s">
        <v>11</v>
      </c>
      <c r="B188" s="37" t="s">
        <v>78</v>
      </c>
      <c r="C188" s="38" t="s">
        <v>78</v>
      </c>
      <c r="D188" s="43" t="s">
        <v>344</v>
      </c>
      <c r="E188" s="40">
        <v>900000</v>
      </c>
      <c r="F188" s="52">
        <v>1</v>
      </c>
      <c r="G188" s="52">
        <v>1</v>
      </c>
      <c r="H188" s="52">
        <v>1</v>
      </c>
      <c r="I188" s="53">
        <f t="shared" si="44"/>
        <v>900000</v>
      </c>
      <c r="J188" s="42">
        <v>0.8</v>
      </c>
      <c r="K188" s="40">
        <f t="shared" si="45"/>
        <v>180000</v>
      </c>
      <c r="L188" s="29">
        <f>6500000+(6500000*L184)</f>
        <v>7410000</v>
      </c>
    </row>
    <row r="189" spans="1:13" ht="15.75" thickBot="1" x14ac:dyDescent="0.3">
      <c r="A189" s="37" t="s">
        <v>11</v>
      </c>
      <c r="B189" s="37" t="s">
        <v>78</v>
      </c>
      <c r="C189" s="38" t="s">
        <v>78</v>
      </c>
      <c r="D189" s="54" t="s">
        <v>83</v>
      </c>
      <c r="E189" s="55">
        <v>1000000</v>
      </c>
      <c r="F189" s="52">
        <v>1</v>
      </c>
      <c r="G189" s="52">
        <v>1</v>
      </c>
      <c r="H189" s="52">
        <v>1</v>
      </c>
      <c r="I189" s="53">
        <f t="shared" si="44"/>
        <v>1000000</v>
      </c>
      <c r="J189" s="56">
        <v>0.55999999999999994</v>
      </c>
      <c r="K189" s="40">
        <f>I189-(I189*J189)</f>
        <v>440000</v>
      </c>
      <c r="L189" s="29">
        <f>4400000+(4400000*L184)</f>
        <v>5016000</v>
      </c>
    </row>
    <row r="190" spans="1:13" ht="15.75" x14ac:dyDescent="0.25">
      <c r="A190" s="57"/>
      <c r="B190" s="57"/>
      <c r="C190" s="57"/>
      <c r="D190" s="57"/>
      <c r="E190" s="57"/>
      <c r="F190" s="57"/>
      <c r="G190" s="57"/>
      <c r="H190" s="57"/>
      <c r="I190" s="58">
        <f>SUM(I185:I189)</f>
        <v>4800000</v>
      </c>
      <c r="J190" s="57"/>
      <c r="K190" s="59">
        <f>SUM(K185:K189)</f>
        <v>1300000</v>
      </c>
    </row>
    <row r="192" spans="1:13" ht="15.75" thickBot="1" x14ac:dyDescent="0.3">
      <c r="J192" s="63"/>
    </row>
    <row r="193" spans="1:11" ht="18.75" thickBot="1" x14ac:dyDescent="0.3">
      <c r="A193" s="386" t="s">
        <v>171</v>
      </c>
      <c r="B193" s="387"/>
      <c r="C193" s="387"/>
      <c r="D193" s="387"/>
      <c r="E193" s="387"/>
      <c r="F193" s="387"/>
      <c r="G193" s="387"/>
      <c r="H193" s="387"/>
      <c r="I193" s="387"/>
      <c r="J193" s="387"/>
      <c r="K193" s="388"/>
    </row>
    <row r="194" spans="1:11" ht="15.75" thickBot="1" x14ac:dyDescent="0.3">
      <c r="A194" s="65" t="s">
        <v>63</v>
      </c>
      <c r="B194" s="66" t="s">
        <v>64</v>
      </c>
      <c r="C194" s="66" t="s">
        <v>65</v>
      </c>
      <c r="D194" s="66" t="s">
        <v>66</v>
      </c>
      <c r="E194" s="66" t="s">
        <v>67</v>
      </c>
      <c r="F194" s="66" t="s">
        <v>68</v>
      </c>
      <c r="G194" s="66" t="s">
        <v>69</v>
      </c>
      <c r="H194" s="66" t="s">
        <v>70</v>
      </c>
      <c r="I194" s="67" t="s">
        <v>71</v>
      </c>
      <c r="J194" s="68" t="s">
        <v>72</v>
      </c>
      <c r="K194" s="69" t="s">
        <v>73</v>
      </c>
    </row>
    <row r="195" spans="1:11" x14ac:dyDescent="0.25">
      <c r="A195" s="37" t="s">
        <v>103</v>
      </c>
      <c r="B195" s="37" t="s">
        <v>97</v>
      </c>
      <c r="C195" s="70" t="s">
        <v>87</v>
      </c>
      <c r="D195" s="95" t="s">
        <v>177</v>
      </c>
      <c r="E195" s="96">
        <v>27000000</v>
      </c>
      <c r="F195" s="41">
        <v>1</v>
      </c>
      <c r="G195" s="41">
        <v>1</v>
      </c>
      <c r="H195" s="40">
        <f>F195*G195</f>
        <v>1</v>
      </c>
      <c r="I195" s="40">
        <f>H195*E195</f>
        <v>27000000</v>
      </c>
      <c r="J195" s="61">
        <v>5.4333333333333338E-2</v>
      </c>
      <c r="K195" s="40">
        <f>I195-(I195*J195)</f>
        <v>25533000</v>
      </c>
    </row>
    <row r="196" spans="1:11" x14ac:dyDescent="0.25">
      <c r="A196" s="37" t="s">
        <v>103</v>
      </c>
      <c r="B196" s="37" t="s">
        <v>78</v>
      </c>
      <c r="C196" s="70" t="s">
        <v>78</v>
      </c>
      <c r="D196" s="39" t="s">
        <v>79</v>
      </c>
      <c r="E196" s="40">
        <v>2280000</v>
      </c>
      <c r="F196" s="41">
        <v>1</v>
      </c>
      <c r="G196" s="41">
        <v>1</v>
      </c>
      <c r="H196" s="40">
        <f t="shared" ref="H196:H199" si="46">F196*G196</f>
        <v>1</v>
      </c>
      <c r="I196" s="40">
        <f>H196*E196</f>
        <v>2280000</v>
      </c>
      <c r="J196" s="61">
        <v>0</v>
      </c>
      <c r="K196" s="40">
        <f t="shared" ref="K196:K199" si="47">I196-(I196*J196)</f>
        <v>2280000</v>
      </c>
    </row>
    <row r="197" spans="1:11" x14ac:dyDescent="0.25">
      <c r="A197" s="37" t="s">
        <v>103</v>
      </c>
      <c r="B197" s="37" t="s">
        <v>78</v>
      </c>
      <c r="C197" s="70" t="s">
        <v>78</v>
      </c>
      <c r="D197" s="43" t="s">
        <v>80</v>
      </c>
      <c r="E197" s="40">
        <v>3990000</v>
      </c>
      <c r="F197" s="41">
        <v>1</v>
      </c>
      <c r="G197" s="41">
        <v>1</v>
      </c>
      <c r="H197" s="40">
        <f t="shared" si="46"/>
        <v>1</v>
      </c>
      <c r="I197" s="40">
        <f>H197*E197</f>
        <v>3990000</v>
      </c>
      <c r="J197" s="61">
        <v>0.35</v>
      </c>
      <c r="K197" s="40">
        <f t="shared" si="47"/>
        <v>2593500</v>
      </c>
    </row>
    <row r="198" spans="1:11" x14ac:dyDescent="0.25">
      <c r="A198" s="37" t="s">
        <v>103</v>
      </c>
      <c r="B198" s="37" t="s">
        <v>78</v>
      </c>
      <c r="C198" s="70" t="s">
        <v>78</v>
      </c>
      <c r="D198" s="43" t="s">
        <v>104</v>
      </c>
      <c r="E198" s="40">
        <v>3990000</v>
      </c>
      <c r="F198" s="41">
        <v>1</v>
      </c>
      <c r="G198" s="41">
        <v>1</v>
      </c>
      <c r="H198" s="40">
        <f t="shared" si="46"/>
        <v>1</v>
      </c>
      <c r="I198" s="40">
        <f>H198*E198</f>
        <v>3990000</v>
      </c>
      <c r="J198" s="61">
        <v>0.35</v>
      </c>
      <c r="K198" s="40">
        <f t="shared" si="47"/>
        <v>2593500</v>
      </c>
    </row>
    <row r="199" spans="1:11" ht="15.75" thickBot="1" x14ac:dyDescent="0.3">
      <c r="A199" s="37" t="s">
        <v>103</v>
      </c>
      <c r="B199" s="37" t="s">
        <v>78</v>
      </c>
      <c r="C199" s="70" t="s">
        <v>78</v>
      </c>
      <c r="D199" s="39" t="s">
        <v>102</v>
      </c>
      <c r="E199" s="40">
        <f>'Tarifas 2026'!E59</f>
        <v>4000000</v>
      </c>
      <c r="F199" s="41">
        <v>1</v>
      </c>
      <c r="G199" s="41">
        <v>1</v>
      </c>
      <c r="H199" s="40">
        <f t="shared" si="46"/>
        <v>1</v>
      </c>
      <c r="I199" s="40">
        <f>H199*E199</f>
        <v>4000000</v>
      </c>
      <c r="J199" s="61">
        <v>0.5</v>
      </c>
      <c r="K199" s="40">
        <f t="shared" si="47"/>
        <v>2000000</v>
      </c>
    </row>
    <row r="200" spans="1:11" ht="15.75" x14ac:dyDescent="0.25">
      <c r="A200" s="44"/>
      <c r="B200" s="44"/>
      <c r="C200" s="44"/>
      <c r="D200" s="44"/>
      <c r="E200" s="44"/>
      <c r="F200" s="44"/>
      <c r="G200" s="44"/>
      <c r="H200" s="44"/>
      <c r="I200" s="45">
        <f>SUM(I195:I199)</f>
        <v>41260000</v>
      </c>
      <c r="J200" s="62"/>
      <c r="K200" s="46">
        <f>SUM(K195:K199)</f>
        <v>35000000</v>
      </c>
    </row>
    <row r="202" spans="1:11" ht="15.75" thickBot="1" x14ac:dyDescent="0.3"/>
    <row r="203" spans="1:11" ht="18.75" thickBot="1" x14ac:dyDescent="0.3">
      <c r="A203" s="386" t="s">
        <v>171</v>
      </c>
      <c r="B203" s="387"/>
      <c r="C203" s="387"/>
      <c r="D203" s="387"/>
      <c r="E203" s="387"/>
      <c r="F203" s="387"/>
      <c r="G203" s="387"/>
      <c r="H203" s="387"/>
      <c r="I203" s="387"/>
      <c r="J203" s="387"/>
      <c r="K203" s="388"/>
    </row>
    <row r="204" spans="1:11" ht="15.75" thickBot="1" x14ac:dyDescent="0.3">
      <c r="A204" s="65" t="s">
        <v>63</v>
      </c>
      <c r="B204" s="66" t="s">
        <v>64</v>
      </c>
      <c r="C204" s="66" t="s">
        <v>65</v>
      </c>
      <c r="D204" s="66" t="s">
        <v>66</v>
      </c>
      <c r="E204" s="66" t="s">
        <v>67</v>
      </c>
      <c r="F204" s="66" t="s">
        <v>68</v>
      </c>
      <c r="G204" s="66" t="s">
        <v>69</v>
      </c>
      <c r="H204" s="66" t="s">
        <v>70</v>
      </c>
      <c r="I204" s="67" t="s">
        <v>71</v>
      </c>
      <c r="J204" s="68" t="s">
        <v>72</v>
      </c>
      <c r="K204" s="69" t="s">
        <v>73</v>
      </c>
    </row>
    <row r="205" spans="1:11" ht="26.25" x14ac:dyDescent="0.25">
      <c r="A205" s="37" t="s">
        <v>103</v>
      </c>
      <c r="B205" s="37" t="s">
        <v>97</v>
      </c>
      <c r="C205" s="70" t="s">
        <v>87</v>
      </c>
      <c r="D205" s="132" t="s">
        <v>178</v>
      </c>
      <c r="E205" s="96">
        <v>12000000</v>
      </c>
      <c r="F205" s="41">
        <v>1</v>
      </c>
      <c r="G205" s="41">
        <v>1</v>
      </c>
      <c r="H205" s="40">
        <f>F205*G205</f>
        <v>1</v>
      </c>
      <c r="I205" s="40">
        <f>H205*E205</f>
        <v>12000000</v>
      </c>
      <c r="J205" s="61">
        <v>0.12225</v>
      </c>
      <c r="K205" s="40">
        <f>I205-(I205*J205)</f>
        <v>10533000</v>
      </c>
    </row>
    <row r="206" spans="1:11" x14ac:dyDescent="0.25">
      <c r="A206" s="37" t="s">
        <v>103</v>
      </c>
      <c r="B206" s="37" t="s">
        <v>78</v>
      </c>
      <c r="C206" s="70" t="s">
        <v>78</v>
      </c>
      <c r="D206" s="39" t="s">
        <v>79</v>
      </c>
      <c r="E206" s="40">
        <v>2280000</v>
      </c>
      <c r="F206" s="41">
        <v>1</v>
      </c>
      <c r="G206" s="41">
        <v>1</v>
      </c>
      <c r="H206" s="40">
        <f t="shared" ref="H206:H209" si="48">F206*G206</f>
        <v>1</v>
      </c>
      <c r="I206" s="40">
        <f>H206*E206</f>
        <v>2280000</v>
      </c>
      <c r="J206" s="61">
        <v>0</v>
      </c>
      <c r="K206" s="40">
        <f t="shared" ref="K206:K209" si="49">I206-(I206*J206)</f>
        <v>2280000</v>
      </c>
    </row>
    <row r="207" spans="1:11" x14ac:dyDescent="0.25">
      <c r="A207" s="37" t="s">
        <v>103</v>
      </c>
      <c r="B207" s="37" t="s">
        <v>78</v>
      </c>
      <c r="C207" s="70" t="s">
        <v>78</v>
      </c>
      <c r="D207" s="43" t="s">
        <v>80</v>
      </c>
      <c r="E207" s="40">
        <v>3990000</v>
      </c>
      <c r="F207" s="41">
        <v>1</v>
      </c>
      <c r="G207" s="41">
        <v>1</v>
      </c>
      <c r="H207" s="40">
        <f t="shared" si="48"/>
        <v>1</v>
      </c>
      <c r="I207" s="40">
        <f>H207*E207</f>
        <v>3990000</v>
      </c>
      <c r="J207" s="61">
        <v>0.35</v>
      </c>
      <c r="K207" s="40">
        <f t="shared" si="49"/>
        <v>2593500</v>
      </c>
    </row>
    <row r="208" spans="1:11" x14ac:dyDescent="0.25">
      <c r="A208" s="37" t="s">
        <v>103</v>
      </c>
      <c r="B208" s="37" t="s">
        <v>78</v>
      </c>
      <c r="C208" s="70" t="s">
        <v>78</v>
      </c>
      <c r="D208" s="43" t="s">
        <v>104</v>
      </c>
      <c r="E208" s="40">
        <v>3990000</v>
      </c>
      <c r="F208" s="41">
        <v>1</v>
      </c>
      <c r="G208" s="41">
        <v>1</v>
      </c>
      <c r="H208" s="40">
        <f t="shared" si="48"/>
        <v>1</v>
      </c>
      <c r="I208" s="40">
        <f>H208*E208</f>
        <v>3990000</v>
      </c>
      <c r="J208" s="61">
        <v>0.35</v>
      </c>
      <c r="K208" s="40">
        <f t="shared" si="49"/>
        <v>2593500</v>
      </c>
    </row>
    <row r="209" spans="1:11" ht="15.75" thickBot="1" x14ac:dyDescent="0.3">
      <c r="A209" s="37" t="s">
        <v>103</v>
      </c>
      <c r="B209" s="37" t="s">
        <v>78</v>
      </c>
      <c r="C209" s="70" t="s">
        <v>78</v>
      </c>
      <c r="D209" s="39" t="s">
        <v>102</v>
      </c>
      <c r="E209" s="40">
        <v>4000000</v>
      </c>
      <c r="F209" s="41">
        <v>1</v>
      </c>
      <c r="G209" s="41">
        <v>1</v>
      </c>
      <c r="H209" s="40">
        <f t="shared" si="48"/>
        <v>1</v>
      </c>
      <c r="I209" s="40">
        <f>H209*E209</f>
        <v>4000000</v>
      </c>
      <c r="J209" s="61">
        <v>0.5</v>
      </c>
      <c r="K209" s="40">
        <f t="shared" si="49"/>
        <v>2000000</v>
      </c>
    </row>
    <row r="210" spans="1:11" ht="15.75" x14ac:dyDescent="0.25">
      <c r="A210" s="44"/>
      <c r="B210" s="44"/>
      <c r="C210" s="44"/>
      <c r="D210" s="44"/>
      <c r="E210" s="44"/>
      <c r="F210" s="44"/>
      <c r="G210" s="44"/>
      <c r="H210" s="44"/>
      <c r="I210" s="45">
        <f>SUM(I205:I209)</f>
        <v>26260000</v>
      </c>
      <c r="J210" s="62"/>
      <c r="K210" s="46">
        <f>SUM(K205:K209)</f>
        <v>20000000</v>
      </c>
    </row>
    <row r="212" spans="1:11" ht="15.75" thickBot="1" x14ac:dyDescent="0.3"/>
    <row r="213" spans="1:11" ht="18.75" thickBot="1" x14ac:dyDescent="0.3">
      <c r="A213" s="386" t="s">
        <v>171</v>
      </c>
      <c r="B213" s="387"/>
      <c r="C213" s="387"/>
      <c r="D213" s="387"/>
      <c r="E213" s="387"/>
      <c r="F213" s="387"/>
      <c r="G213" s="387"/>
      <c r="H213" s="387"/>
      <c r="I213" s="387"/>
      <c r="J213" s="387"/>
      <c r="K213" s="388"/>
    </row>
    <row r="214" spans="1:11" ht="15.75" thickBot="1" x14ac:dyDescent="0.3">
      <c r="A214" s="65" t="s">
        <v>63</v>
      </c>
      <c r="B214" s="66" t="s">
        <v>64</v>
      </c>
      <c r="C214" s="66" t="s">
        <v>65</v>
      </c>
      <c r="D214" s="66" t="s">
        <v>66</v>
      </c>
      <c r="E214" s="66" t="s">
        <v>67</v>
      </c>
      <c r="F214" s="66" t="s">
        <v>68</v>
      </c>
      <c r="G214" s="66" t="s">
        <v>69</v>
      </c>
      <c r="H214" s="66" t="s">
        <v>70</v>
      </c>
      <c r="I214" s="67" t="s">
        <v>71</v>
      </c>
      <c r="J214" s="68" t="s">
        <v>72</v>
      </c>
      <c r="K214" s="69" t="s">
        <v>73</v>
      </c>
    </row>
    <row r="215" spans="1:11" x14ac:dyDescent="0.25">
      <c r="A215" s="37" t="s">
        <v>103</v>
      </c>
      <c r="B215" s="37" t="s">
        <v>97</v>
      </c>
      <c r="C215" s="70" t="s">
        <v>87</v>
      </c>
      <c r="D215" s="95" t="s">
        <v>179</v>
      </c>
      <c r="E215" s="96">
        <v>20000000</v>
      </c>
      <c r="F215" s="41">
        <v>1</v>
      </c>
      <c r="G215" s="41">
        <v>1</v>
      </c>
      <c r="H215" s="40">
        <f>F215*G215</f>
        <v>1</v>
      </c>
      <c r="I215" s="40">
        <f>H215*E215</f>
        <v>20000000</v>
      </c>
      <c r="J215" s="61">
        <v>7.3349999999999999E-2</v>
      </c>
      <c r="K215" s="40">
        <f>I215-(I215*J215)</f>
        <v>18533000</v>
      </c>
    </row>
    <row r="216" spans="1:11" x14ac:dyDescent="0.25">
      <c r="A216" s="37" t="s">
        <v>103</v>
      </c>
      <c r="B216" s="37" t="s">
        <v>78</v>
      </c>
      <c r="C216" s="70" t="s">
        <v>78</v>
      </c>
      <c r="D216" s="39" t="s">
        <v>79</v>
      </c>
      <c r="E216" s="40">
        <v>2280000</v>
      </c>
      <c r="F216" s="41">
        <v>1</v>
      </c>
      <c r="G216" s="41">
        <v>1</v>
      </c>
      <c r="H216" s="40">
        <f t="shared" ref="H216:H219" si="50">F216*G216</f>
        <v>1</v>
      </c>
      <c r="I216" s="40">
        <f>H216*E216</f>
        <v>2280000</v>
      </c>
      <c r="J216" s="61">
        <v>0</v>
      </c>
      <c r="K216" s="40">
        <f t="shared" ref="K216:K219" si="51">I216-(I216*J216)</f>
        <v>2280000</v>
      </c>
    </row>
    <row r="217" spans="1:11" x14ac:dyDescent="0.25">
      <c r="A217" s="37" t="s">
        <v>103</v>
      </c>
      <c r="B217" s="37" t="s">
        <v>78</v>
      </c>
      <c r="C217" s="70" t="s">
        <v>78</v>
      </c>
      <c r="D217" s="43" t="s">
        <v>80</v>
      </c>
      <c r="E217" s="40">
        <v>3990000</v>
      </c>
      <c r="F217" s="41">
        <v>1</v>
      </c>
      <c r="G217" s="41">
        <v>1</v>
      </c>
      <c r="H217" s="40">
        <f t="shared" si="50"/>
        <v>1</v>
      </c>
      <c r="I217" s="40">
        <f>H217*E217</f>
        <v>3990000</v>
      </c>
      <c r="J217" s="61">
        <v>0.35</v>
      </c>
      <c r="K217" s="40">
        <f t="shared" si="51"/>
        <v>2593500</v>
      </c>
    </row>
    <row r="218" spans="1:11" x14ac:dyDescent="0.25">
      <c r="A218" s="37" t="s">
        <v>103</v>
      </c>
      <c r="B218" s="37" t="s">
        <v>78</v>
      </c>
      <c r="C218" s="70" t="s">
        <v>78</v>
      </c>
      <c r="D218" s="43" t="s">
        <v>104</v>
      </c>
      <c r="E218" s="40">
        <v>3990000</v>
      </c>
      <c r="F218" s="41">
        <v>1</v>
      </c>
      <c r="G218" s="41">
        <v>1</v>
      </c>
      <c r="H218" s="40">
        <f t="shared" si="50"/>
        <v>1</v>
      </c>
      <c r="I218" s="40">
        <f>H218*E218</f>
        <v>3990000</v>
      </c>
      <c r="J218" s="61">
        <v>0.35</v>
      </c>
      <c r="K218" s="40">
        <f t="shared" si="51"/>
        <v>2593500</v>
      </c>
    </row>
    <row r="219" spans="1:11" ht="15.75" thickBot="1" x14ac:dyDescent="0.3">
      <c r="A219" s="37" t="s">
        <v>103</v>
      </c>
      <c r="B219" s="37" t="s">
        <v>78</v>
      </c>
      <c r="C219" s="70" t="s">
        <v>78</v>
      </c>
      <c r="D219" s="39" t="s">
        <v>102</v>
      </c>
      <c r="E219" s="40">
        <v>4000000</v>
      </c>
      <c r="F219" s="41">
        <v>1</v>
      </c>
      <c r="G219" s="41">
        <v>1</v>
      </c>
      <c r="H219" s="40">
        <f t="shared" si="50"/>
        <v>1</v>
      </c>
      <c r="I219" s="40">
        <f>H219*E219</f>
        <v>4000000</v>
      </c>
      <c r="J219" s="61">
        <v>0.5</v>
      </c>
      <c r="K219" s="40">
        <f t="shared" si="51"/>
        <v>2000000</v>
      </c>
    </row>
    <row r="220" spans="1:11" ht="15.75" x14ac:dyDescent="0.25">
      <c r="A220" s="44"/>
      <c r="B220" s="44"/>
      <c r="C220" s="44"/>
      <c r="D220" s="44"/>
      <c r="E220" s="44"/>
      <c r="F220" s="44"/>
      <c r="G220" s="44"/>
      <c r="H220" s="44"/>
      <c r="I220" s="45">
        <f>SUM(I215:I219)</f>
        <v>34260000</v>
      </c>
      <c r="J220" s="62"/>
      <c r="K220" s="46">
        <f>SUM(K215:K219)</f>
        <v>28000000</v>
      </c>
    </row>
    <row r="222" spans="1:11" ht="15.75" thickBot="1" x14ac:dyDescent="0.3"/>
    <row r="223" spans="1:11" ht="18.75" thickBot="1" x14ac:dyDescent="0.3">
      <c r="A223" s="386" t="s">
        <v>171</v>
      </c>
      <c r="B223" s="387"/>
      <c r="C223" s="387"/>
      <c r="D223" s="387"/>
      <c r="E223" s="387"/>
      <c r="F223" s="387"/>
      <c r="G223" s="387"/>
      <c r="H223" s="387"/>
      <c r="I223" s="387"/>
      <c r="J223" s="387"/>
      <c r="K223" s="388"/>
    </row>
    <row r="224" spans="1:11" ht="15.75" thickBot="1" x14ac:dyDescent="0.3">
      <c r="A224" s="65" t="s">
        <v>63</v>
      </c>
      <c r="B224" s="66" t="s">
        <v>64</v>
      </c>
      <c r="C224" s="66" t="s">
        <v>65</v>
      </c>
      <c r="D224" s="66" t="s">
        <v>66</v>
      </c>
      <c r="E224" s="66" t="s">
        <v>67</v>
      </c>
      <c r="F224" s="66" t="s">
        <v>68</v>
      </c>
      <c r="G224" s="66" t="s">
        <v>69</v>
      </c>
      <c r="H224" s="66" t="s">
        <v>70</v>
      </c>
      <c r="I224" s="67" t="s">
        <v>71</v>
      </c>
      <c r="J224" s="68" t="s">
        <v>72</v>
      </c>
      <c r="K224" s="69" t="s">
        <v>73</v>
      </c>
    </row>
    <row r="225" spans="1:13" x14ac:dyDescent="0.25">
      <c r="A225" s="37" t="s">
        <v>103</v>
      </c>
      <c r="B225" s="37" t="s">
        <v>97</v>
      </c>
      <c r="C225" s="70" t="s">
        <v>87</v>
      </c>
      <c r="D225" s="95" t="s">
        <v>306</v>
      </c>
      <c r="E225" s="96">
        <v>6000000</v>
      </c>
      <c r="F225" s="41">
        <v>1</v>
      </c>
      <c r="G225" s="41">
        <v>1</v>
      </c>
      <c r="H225" s="40">
        <f>F225*G225</f>
        <v>1</v>
      </c>
      <c r="I225" s="40">
        <f>H225*E225</f>
        <v>6000000</v>
      </c>
      <c r="J225" s="61">
        <v>0</v>
      </c>
      <c r="K225" s="40">
        <f>I225-(I225*J225)</f>
        <v>6000000</v>
      </c>
    </row>
    <row r="226" spans="1:13" x14ac:dyDescent="0.25">
      <c r="A226" s="37" t="s">
        <v>103</v>
      </c>
      <c r="B226" s="37" t="s">
        <v>78</v>
      </c>
      <c r="C226" s="70" t="s">
        <v>78</v>
      </c>
      <c r="D226" s="39" t="s">
        <v>79</v>
      </c>
      <c r="E226" s="40">
        <v>2280000</v>
      </c>
      <c r="F226" s="41">
        <v>1</v>
      </c>
      <c r="G226" s="41">
        <v>1</v>
      </c>
      <c r="H226" s="40">
        <f t="shared" ref="H226:H229" si="52">F226*G226</f>
        <v>1</v>
      </c>
      <c r="I226" s="40">
        <f>H226*E226</f>
        <v>2280000</v>
      </c>
      <c r="J226" s="61">
        <v>0</v>
      </c>
      <c r="K226" s="40">
        <f t="shared" ref="K226:K229" si="53">I226-(I226*J226)</f>
        <v>2280000</v>
      </c>
    </row>
    <row r="227" spans="1:13" x14ac:dyDescent="0.25">
      <c r="A227" s="37" t="s">
        <v>103</v>
      </c>
      <c r="B227" s="37" t="s">
        <v>78</v>
      </c>
      <c r="C227" s="70" t="s">
        <v>78</v>
      </c>
      <c r="D227" s="43" t="s">
        <v>80</v>
      </c>
      <c r="E227" s="40">
        <v>3990000</v>
      </c>
      <c r="F227" s="41">
        <v>1</v>
      </c>
      <c r="G227" s="41">
        <v>1</v>
      </c>
      <c r="H227" s="40">
        <f t="shared" si="52"/>
        <v>1</v>
      </c>
      <c r="I227" s="40">
        <f>H227*E227</f>
        <v>3990000</v>
      </c>
      <c r="J227" s="61">
        <v>0.35</v>
      </c>
      <c r="K227" s="40">
        <f t="shared" si="53"/>
        <v>2593500</v>
      </c>
    </row>
    <row r="228" spans="1:13" x14ac:dyDescent="0.25">
      <c r="A228" s="37" t="s">
        <v>103</v>
      </c>
      <c r="B228" s="37" t="s">
        <v>78</v>
      </c>
      <c r="C228" s="70" t="s">
        <v>78</v>
      </c>
      <c r="D228" s="43" t="s">
        <v>104</v>
      </c>
      <c r="E228" s="40">
        <v>3990000</v>
      </c>
      <c r="F228" s="41">
        <v>1</v>
      </c>
      <c r="G228" s="41">
        <v>1</v>
      </c>
      <c r="H228" s="40">
        <f t="shared" si="52"/>
        <v>1</v>
      </c>
      <c r="I228" s="40">
        <f>H228*E228</f>
        <v>3990000</v>
      </c>
      <c r="J228" s="61">
        <v>0.35</v>
      </c>
      <c r="K228" s="40">
        <f t="shared" si="53"/>
        <v>2593500</v>
      </c>
    </row>
    <row r="229" spans="1:13" ht="15.75" thickBot="1" x14ac:dyDescent="0.3">
      <c r="A229" s="37" t="s">
        <v>103</v>
      </c>
      <c r="B229" s="37" t="s">
        <v>78</v>
      </c>
      <c r="C229" s="70" t="s">
        <v>78</v>
      </c>
      <c r="D229" s="39" t="s">
        <v>102</v>
      </c>
      <c r="E229" s="40">
        <v>4000000</v>
      </c>
      <c r="F229" s="41">
        <v>1</v>
      </c>
      <c r="G229" s="41">
        <v>1</v>
      </c>
      <c r="H229" s="40">
        <f t="shared" si="52"/>
        <v>1</v>
      </c>
      <c r="I229" s="40">
        <f>H229*E229</f>
        <v>4000000</v>
      </c>
      <c r="J229" s="61">
        <v>0.36675000000000002</v>
      </c>
      <c r="K229" s="40">
        <f t="shared" si="53"/>
        <v>2533000</v>
      </c>
    </row>
    <row r="230" spans="1:13" ht="15.75" x14ac:dyDescent="0.25">
      <c r="A230" s="44"/>
      <c r="B230" s="44"/>
      <c r="C230" s="44"/>
      <c r="D230" s="44"/>
      <c r="E230" s="44"/>
      <c r="F230" s="44"/>
      <c r="G230" s="44"/>
      <c r="H230" s="44"/>
      <c r="I230" s="45">
        <f>SUM(I225:I229)</f>
        <v>20260000</v>
      </c>
      <c r="J230" s="62"/>
      <c r="K230" s="46">
        <f>SUM(K225:K229)</f>
        <v>16000000</v>
      </c>
    </row>
    <row r="232" spans="1:13" x14ac:dyDescent="0.25">
      <c r="D232" s="133" t="s">
        <v>176</v>
      </c>
    </row>
    <row r="233" spans="1:13" x14ac:dyDescent="0.25">
      <c r="D233" t="s">
        <v>173</v>
      </c>
    </row>
    <row r="234" spans="1:13" x14ac:dyDescent="0.25">
      <c r="D234" t="s">
        <v>174</v>
      </c>
    </row>
    <row r="235" spans="1:13" x14ac:dyDescent="0.25">
      <c r="D235" t="s">
        <v>175</v>
      </c>
    </row>
    <row r="236" spans="1:13" ht="15.75" thickBot="1" x14ac:dyDescent="0.3"/>
    <row r="237" spans="1:13" ht="18.75" thickBot="1" x14ac:dyDescent="0.3">
      <c r="A237" s="379" t="s">
        <v>320</v>
      </c>
      <c r="B237" s="380"/>
      <c r="C237" s="380"/>
      <c r="D237" s="380"/>
      <c r="E237" s="380"/>
      <c r="F237" s="380"/>
      <c r="G237" s="380"/>
      <c r="H237" s="380"/>
      <c r="I237" s="380"/>
      <c r="J237" s="380"/>
      <c r="K237" s="381"/>
    </row>
    <row r="238" spans="1:13" ht="15.75" thickBot="1" x14ac:dyDescent="0.3">
      <c r="A238" s="160" t="s">
        <v>63</v>
      </c>
      <c r="B238" s="161" t="s">
        <v>64</v>
      </c>
      <c r="C238" s="161" t="s">
        <v>65</v>
      </c>
      <c r="D238" s="161" t="s">
        <v>66</v>
      </c>
      <c r="E238" s="161" t="s">
        <v>67</v>
      </c>
      <c r="F238" s="161" t="s">
        <v>68</v>
      </c>
      <c r="G238" s="161" t="s">
        <v>69</v>
      </c>
      <c r="H238" s="161" t="s">
        <v>70</v>
      </c>
      <c r="I238" s="162" t="s">
        <v>71</v>
      </c>
      <c r="J238" s="172" t="s">
        <v>72</v>
      </c>
      <c r="K238" s="163" t="s">
        <v>73</v>
      </c>
      <c r="L238" s="48">
        <v>0.14000000000000001</v>
      </c>
      <c r="M238" s="48">
        <v>0.2</v>
      </c>
    </row>
    <row r="239" spans="1:13" x14ac:dyDescent="0.25">
      <c r="A239" s="37" t="s">
        <v>11</v>
      </c>
      <c r="B239" s="37" t="s">
        <v>97</v>
      </c>
      <c r="C239" s="164" t="s">
        <v>87</v>
      </c>
      <c r="D239" s="39" t="s">
        <v>98</v>
      </c>
      <c r="E239" s="40">
        <v>1420000</v>
      </c>
      <c r="F239" s="41">
        <v>1</v>
      </c>
      <c r="G239" s="41">
        <v>1</v>
      </c>
      <c r="H239" s="40">
        <f>F239*G239</f>
        <v>1</v>
      </c>
      <c r="I239" s="40">
        <f>H239*E239</f>
        <v>1420000</v>
      </c>
      <c r="J239" s="61">
        <v>0.6</v>
      </c>
      <c r="K239" s="40">
        <f>I239-(I239*J239)</f>
        <v>568000</v>
      </c>
      <c r="L239" s="29"/>
      <c r="M239" s="29">
        <f>2847000+(2847000*M238)</f>
        <v>3416400</v>
      </c>
    </row>
    <row r="240" spans="1:13" x14ac:dyDescent="0.25">
      <c r="A240" s="37" t="s">
        <v>11</v>
      </c>
      <c r="B240" s="37" t="s">
        <v>78</v>
      </c>
      <c r="C240" s="164" t="s">
        <v>78</v>
      </c>
      <c r="D240" s="39" t="s">
        <v>79</v>
      </c>
      <c r="E240" s="40">
        <v>4000000</v>
      </c>
      <c r="F240" s="41">
        <v>1</v>
      </c>
      <c r="G240" s="41">
        <v>1</v>
      </c>
      <c r="H240" s="40">
        <f t="shared" ref="H240:H243" si="54">F240*G240</f>
        <v>1</v>
      </c>
      <c r="I240" s="40">
        <f>H240*E240</f>
        <v>4000000</v>
      </c>
      <c r="J240" s="61">
        <v>0.2</v>
      </c>
      <c r="K240" s="40">
        <f t="shared" ref="K240:K243" si="55">I240-(I240*J240)</f>
        <v>3200000</v>
      </c>
      <c r="L240" s="29">
        <f>2000000+(2000000*L238)</f>
        <v>2280000</v>
      </c>
    </row>
    <row r="241" spans="1:13" x14ac:dyDescent="0.25">
      <c r="A241" s="37" t="s">
        <v>11</v>
      </c>
      <c r="B241" s="37" t="s">
        <v>78</v>
      </c>
      <c r="C241" s="164" t="s">
        <v>78</v>
      </c>
      <c r="D241" s="43" t="s">
        <v>80</v>
      </c>
      <c r="E241" s="40">
        <f>'Tarifas 2026'!C121</f>
        <v>4600000</v>
      </c>
      <c r="F241" s="41">
        <v>1</v>
      </c>
      <c r="G241" s="41">
        <v>1</v>
      </c>
      <c r="H241" s="40">
        <f t="shared" si="54"/>
        <v>1</v>
      </c>
      <c r="I241" s="40">
        <f>H241*E241</f>
        <v>4600000</v>
      </c>
      <c r="J241" s="61">
        <v>0.3</v>
      </c>
      <c r="K241" s="40">
        <f t="shared" si="55"/>
        <v>3220000</v>
      </c>
      <c r="L241" s="29">
        <f>1500000+(1500000*L238)</f>
        <v>1710000</v>
      </c>
    </row>
    <row r="242" spans="1:13" x14ac:dyDescent="0.25">
      <c r="A242" s="37" t="s">
        <v>11</v>
      </c>
      <c r="B242" s="37" t="s">
        <v>78</v>
      </c>
      <c r="C242" s="164" t="s">
        <v>78</v>
      </c>
      <c r="D242" s="43" t="s">
        <v>81</v>
      </c>
      <c r="E242" s="40">
        <f>'Tarifas 2026'!C136</f>
        <v>7400000</v>
      </c>
      <c r="F242" s="41">
        <v>1</v>
      </c>
      <c r="G242" s="41">
        <v>1</v>
      </c>
      <c r="H242" s="40">
        <f t="shared" si="54"/>
        <v>1</v>
      </c>
      <c r="I242" s="40">
        <f>H242*E242</f>
        <v>7400000</v>
      </c>
      <c r="J242" s="61">
        <v>0.3</v>
      </c>
      <c r="K242" s="40">
        <f t="shared" si="55"/>
        <v>5180000</v>
      </c>
      <c r="L242" s="29">
        <f>2160000+(2160000*L238)</f>
        <v>2462400</v>
      </c>
    </row>
    <row r="243" spans="1:13" ht="15.75" thickBot="1" x14ac:dyDescent="0.3">
      <c r="A243" s="37" t="s">
        <v>11</v>
      </c>
      <c r="B243" s="37" t="s">
        <v>78</v>
      </c>
      <c r="C243" s="164" t="s">
        <v>78</v>
      </c>
      <c r="D243" s="39" t="s">
        <v>300</v>
      </c>
      <c r="E243" s="40">
        <v>3000000</v>
      </c>
      <c r="F243" s="41">
        <v>1</v>
      </c>
      <c r="G243" s="41">
        <v>1</v>
      </c>
      <c r="H243" s="40">
        <f t="shared" si="54"/>
        <v>1</v>
      </c>
      <c r="I243" s="40">
        <f>H243*E243</f>
        <v>3000000</v>
      </c>
      <c r="J243" s="61">
        <v>0.32266666666666666</v>
      </c>
      <c r="K243" s="40">
        <f t="shared" si="55"/>
        <v>2032000</v>
      </c>
      <c r="L243" s="29">
        <f>2400000+(2400000*L238)</f>
        <v>2736000</v>
      </c>
    </row>
    <row r="244" spans="1:13" ht="15.75" x14ac:dyDescent="0.25">
      <c r="A244" s="44"/>
      <c r="B244" s="44"/>
      <c r="C244" s="44"/>
      <c r="D244" s="44"/>
      <c r="E244" s="44"/>
      <c r="F244" s="44"/>
      <c r="G244" s="44"/>
      <c r="H244" s="44"/>
      <c r="I244" s="45">
        <f>SUM(I239:I243)</f>
        <v>20420000</v>
      </c>
      <c r="J244" s="62"/>
      <c r="K244" s="173">
        <f>SUM(K239:K243)</f>
        <v>14200000</v>
      </c>
    </row>
    <row r="245" spans="1:13" ht="15.75" thickBot="1" x14ac:dyDescent="0.3">
      <c r="J245" s="63"/>
    </row>
    <row r="246" spans="1:13" ht="18.75" thickBot="1" x14ac:dyDescent="0.3">
      <c r="A246" s="392" t="s">
        <v>301</v>
      </c>
      <c r="B246" s="380"/>
      <c r="C246" s="380"/>
      <c r="D246" s="380"/>
      <c r="E246" s="380"/>
      <c r="F246" s="380"/>
      <c r="G246" s="380"/>
      <c r="H246" s="380"/>
      <c r="I246" s="380"/>
      <c r="J246" s="380"/>
      <c r="K246" s="381"/>
    </row>
    <row r="247" spans="1:13" ht="15.75" thickBot="1" x14ac:dyDescent="0.3">
      <c r="A247" s="160" t="s">
        <v>63</v>
      </c>
      <c r="B247" s="161" t="s">
        <v>64</v>
      </c>
      <c r="C247" s="161" t="s">
        <v>65</v>
      </c>
      <c r="D247" s="161" t="s">
        <v>66</v>
      </c>
      <c r="E247" s="161" t="s">
        <v>67</v>
      </c>
      <c r="F247" s="161" t="s">
        <v>68</v>
      </c>
      <c r="G247" s="161" t="s">
        <v>69</v>
      </c>
      <c r="H247" s="161" t="s">
        <v>70</v>
      </c>
      <c r="I247" s="162" t="s">
        <v>71</v>
      </c>
      <c r="J247" s="172" t="s">
        <v>72</v>
      </c>
      <c r="K247" s="163" t="s">
        <v>73</v>
      </c>
      <c r="L247" s="48">
        <v>0.14000000000000001</v>
      </c>
      <c r="M247" s="48">
        <v>0.2</v>
      </c>
    </row>
    <row r="248" spans="1:13" x14ac:dyDescent="0.25">
      <c r="A248" s="37" t="s">
        <v>11</v>
      </c>
      <c r="B248" s="37" t="s">
        <v>97</v>
      </c>
      <c r="C248" s="164" t="s">
        <v>87</v>
      </c>
      <c r="D248" s="39" t="s">
        <v>98</v>
      </c>
      <c r="E248" s="40">
        <v>1420000</v>
      </c>
      <c r="F248" s="41">
        <v>1</v>
      </c>
      <c r="G248" s="41">
        <v>1</v>
      </c>
      <c r="H248" s="40">
        <f>F248*G248</f>
        <v>1</v>
      </c>
      <c r="I248" s="40">
        <f>H248*E248</f>
        <v>1420000</v>
      </c>
      <c r="J248" s="61">
        <v>0.6</v>
      </c>
      <c r="K248" s="40">
        <f>I248-(I248*J248)</f>
        <v>568000</v>
      </c>
      <c r="L248" s="29"/>
      <c r="M248" s="29">
        <f>2847000+(2847000*M247)</f>
        <v>3416400</v>
      </c>
    </row>
    <row r="249" spans="1:13" x14ac:dyDescent="0.25">
      <c r="A249" s="37" t="s">
        <v>11</v>
      </c>
      <c r="B249" s="37" t="s">
        <v>78</v>
      </c>
      <c r="C249" s="164" t="s">
        <v>78</v>
      </c>
      <c r="D249" s="39" t="s">
        <v>79</v>
      </c>
      <c r="E249" s="40">
        <v>4000000</v>
      </c>
      <c r="F249" s="41">
        <v>1</v>
      </c>
      <c r="G249" s="41">
        <v>1</v>
      </c>
      <c r="H249" s="40">
        <f t="shared" ref="H249:H252" si="56">F249*G249</f>
        <v>1</v>
      </c>
      <c r="I249" s="40">
        <f>H249*E249</f>
        <v>4000000</v>
      </c>
      <c r="J249" s="61">
        <v>0.2</v>
      </c>
      <c r="K249" s="40">
        <f t="shared" ref="K249:K252" si="57">I249-(I249*J249)</f>
        <v>3200000</v>
      </c>
      <c r="L249" s="29">
        <f>2000000+(2000000*L247)</f>
        <v>2280000</v>
      </c>
    </row>
    <row r="250" spans="1:13" x14ac:dyDescent="0.25">
      <c r="A250" s="37" t="s">
        <v>11</v>
      </c>
      <c r="B250" s="37" t="s">
        <v>78</v>
      </c>
      <c r="C250" s="164" t="s">
        <v>78</v>
      </c>
      <c r="D250" s="43" t="s">
        <v>80</v>
      </c>
      <c r="E250" s="40">
        <v>4600000</v>
      </c>
      <c r="F250" s="41">
        <v>1</v>
      </c>
      <c r="G250" s="41">
        <v>1</v>
      </c>
      <c r="H250" s="40">
        <f t="shared" si="56"/>
        <v>1</v>
      </c>
      <c r="I250" s="40">
        <f>H250*E250</f>
        <v>4600000</v>
      </c>
      <c r="J250" s="61">
        <v>0.3</v>
      </c>
      <c r="K250" s="40">
        <f t="shared" si="57"/>
        <v>3220000</v>
      </c>
      <c r="L250" s="29">
        <f>1500000+(1500000*L247)</f>
        <v>1710000</v>
      </c>
    </row>
    <row r="251" spans="1:13" x14ac:dyDescent="0.25">
      <c r="A251" s="37" t="s">
        <v>11</v>
      </c>
      <c r="B251" s="37" t="s">
        <v>78</v>
      </c>
      <c r="C251" s="164" t="s">
        <v>78</v>
      </c>
      <c r="D251" s="43" t="s">
        <v>81</v>
      </c>
      <c r="E251" s="40">
        <v>7400000</v>
      </c>
      <c r="F251" s="41">
        <v>1</v>
      </c>
      <c r="G251" s="41">
        <v>1</v>
      </c>
      <c r="H251" s="40">
        <f t="shared" si="56"/>
        <v>1</v>
      </c>
      <c r="I251" s="40">
        <f>H251*E251</f>
        <v>7400000</v>
      </c>
      <c r="J251" s="61">
        <v>0.3</v>
      </c>
      <c r="K251" s="40">
        <f t="shared" si="57"/>
        <v>5180000</v>
      </c>
      <c r="L251" s="29">
        <f>2160000+(2160000*L247)</f>
        <v>2462400</v>
      </c>
    </row>
    <row r="252" spans="1:13" ht="15.75" thickBot="1" x14ac:dyDescent="0.3">
      <c r="A252" s="37" t="s">
        <v>11</v>
      </c>
      <c r="B252" s="37" t="s">
        <v>78</v>
      </c>
      <c r="C252" s="164" t="s">
        <v>78</v>
      </c>
      <c r="D252" s="39" t="s">
        <v>300</v>
      </c>
      <c r="E252" s="40">
        <v>3000000</v>
      </c>
      <c r="F252" s="41">
        <v>1</v>
      </c>
      <c r="G252" s="41">
        <v>1</v>
      </c>
      <c r="H252" s="40">
        <f t="shared" si="56"/>
        <v>1</v>
      </c>
      <c r="I252" s="40">
        <f>H252*E252</f>
        <v>3000000</v>
      </c>
      <c r="J252" s="61">
        <v>0.25600000000000001</v>
      </c>
      <c r="K252" s="40">
        <f t="shared" si="57"/>
        <v>2232000</v>
      </c>
      <c r="L252" s="29">
        <f>2400000+(2400000*L247)</f>
        <v>2736000</v>
      </c>
    </row>
    <row r="253" spans="1:13" ht="15.75" x14ac:dyDescent="0.25">
      <c r="A253" s="44"/>
      <c r="B253" s="44"/>
      <c r="C253" s="44"/>
      <c r="D253" s="44"/>
      <c r="E253" s="44"/>
      <c r="F253" s="44"/>
      <c r="G253" s="44"/>
      <c r="H253" s="44"/>
      <c r="I253" s="45">
        <f>SUM(I248:I252)</f>
        <v>20420000</v>
      </c>
      <c r="J253" s="62"/>
      <c r="K253" s="173">
        <f>SUM(K248:K252)</f>
        <v>14400000</v>
      </c>
    </row>
    <row r="254" spans="1:13" ht="15.75" thickBot="1" x14ac:dyDescent="0.3">
      <c r="J254" s="63"/>
    </row>
    <row r="255" spans="1:13" ht="18.75" thickBot="1" x14ac:dyDescent="0.3">
      <c r="A255" s="392" t="s">
        <v>302</v>
      </c>
      <c r="B255" s="380"/>
      <c r="C255" s="380"/>
      <c r="D255" s="380"/>
      <c r="E255" s="380"/>
      <c r="F255" s="380"/>
      <c r="G255" s="380"/>
      <c r="H255" s="380"/>
      <c r="I255" s="380"/>
      <c r="J255" s="380"/>
      <c r="K255" s="381"/>
    </row>
    <row r="256" spans="1:13" ht="15.75" thickBot="1" x14ac:dyDescent="0.3">
      <c r="A256" s="160" t="s">
        <v>63</v>
      </c>
      <c r="B256" s="161" t="s">
        <v>64</v>
      </c>
      <c r="C256" s="161" t="s">
        <v>65</v>
      </c>
      <c r="D256" s="161" t="s">
        <v>66</v>
      </c>
      <c r="E256" s="161" t="s">
        <v>67</v>
      </c>
      <c r="F256" s="161" t="s">
        <v>68</v>
      </c>
      <c r="G256" s="161" t="s">
        <v>69</v>
      </c>
      <c r="H256" s="161" t="s">
        <v>70</v>
      </c>
      <c r="I256" s="162" t="s">
        <v>71</v>
      </c>
      <c r="J256" s="172" t="s">
        <v>72</v>
      </c>
      <c r="K256" s="163" t="s">
        <v>73</v>
      </c>
      <c r="L256" s="48">
        <v>0.14000000000000001</v>
      </c>
      <c r="M256" s="48">
        <v>0.2</v>
      </c>
    </row>
    <row r="257" spans="1:13" x14ac:dyDescent="0.25">
      <c r="A257" s="37" t="s">
        <v>11</v>
      </c>
      <c r="B257" s="37" t="s">
        <v>97</v>
      </c>
      <c r="C257" s="164" t="s">
        <v>87</v>
      </c>
      <c r="D257" s="39" t="s">
        <v>98</v>
      </c>
      <c r="E257" s="40">
        <v>1420000</v>
      </c>
      <c r="F257" s="41">
        <v>1</v>
      </c>
      <c r="G257" s="41">
        <v>1</v>
      </c>
      <c r="H257" s="40">
        <f>F257*G257</f>
        <v>1</v>
      </c>
      <c r="I257" s="40">
        <f>H257*E257</f>
        <v>1420000</v>
      </c>
      <c r="J257" s="61">
        <v>0.6</v>
      </c>
      <c r="K257" s="40">
        <f>I257-(I257*J257)</f>
        <v>568000</v>
      </c>
      <c r="L257" s="29"/>
      <c r="M257" s="29">
        <f>2847000+(2847000*M256)</f>
        <v>3416400</v>
      </c>
    </row>
    <row r="258" spans="1:13" x14ac:dyDescent="0.25">
      <c r="A258" s="37" t="s">
        <v>11</v>
      </c>
      <c r="B258" s="37" t="s">
        <v>78</v>
      </c>
      <c r="C258" s="164" t="s">
        <v>78</v>
      </c>
      <c r="D258" s="39" t="s">
        <v>79</v>
      </c>
      <c r="E258" s="40">
        <v>4000000</v>
      </c>
      <c r="F258" s="41">
        <v>1</v>
      </c>
      <c r="G258" s="41">
        <v>1</v>
      </c>
      <c r="H258" s="40">
        <f t="shared" ref="H258:H261" si="58">F258*G258</f>
        <v>1</v>
      </c>
      <c r="I258" s="40">
        <f>H258*E258</f>
        <v>4000000</v>
      </c>
      <c r="J258" s="61">
        <v>0.2</v>
      </c>
      <c r="K258" s="40">
        <f t="shared" ref="K258:K261" si="59">I258-(I258*J258)</f>
        <v>3200000</v>
      </c>
      <c r="L258" s="29">
        <f>2000000+(2000000*L256)</f>
        <v>2280000</v>
      </c>
    </row>
    <row r="259" spans="1:13" x14ac:dyDescent="0.25">
      <c r="A259" s="37" t="s">
        <v>11</v>
      </c>
      <c r="B259" s="37" t="s">
        <v>78</v>
      </c>
      <c r="C259" s="164" t="s">
        <v>78</v>
      </c>
      <c r="D259" s="43" t="s">
        <v>80</v>
      </c>
      <c r="E259" s="40">
        <v>4600000</v>
      </c>
      <c r="F259" s="41">
        <v>1</v>
      </c>
      <c r="G259" s="41">
        <v>1</v>
      </c>
      <c r="H259" s="40">
        <f t="shared" si="58"/>
        <v>1</v>
      </c>
      <c r="I259" s="40">
        <f>H259*E259</f>
        <v>4600000</v>
      </c>
      <c r="J259" s="61">
        <v>0.3</v>
      </c>
      <c r="K259" s="40">
        <f t="shared" si="59"/>
        <v>3220000</v>
      </c>
      <c r="L259" s="29">
        <f>1500000+(1500000*L256)</f>
        <v>1710000</v>
      </c>
    </row>
    <row r="260" spans="1:13" x14ac:dyDescent="0.25">
      <c r="A260" s="37" t="s">
        <v>11</v>
      </c>
      <c r="B260" s="37" t="s">
        <v>78</v>
      </c>
      <c r="C260" s="164" t="s">
        <v>78</v>
      </c>
      <c r="D260" s="43" t="s">
        <v>81</v>
      </c>
      <c r="E260" s="40">
        <v>7400000</v>
      </c>
      <c r="F260" s="41">
        <v>1</v>
      </c>
      <c r="G260" s="41">
        <v>1</v>
      </c>
      <c r="H260" s="40">
        <f t="shared" si="58"/>
        <v>1</v>
      </c>
      <c r="I260" s="40">
        <f>H260*E260</f>
        <v>7400000</v>
      </c>
      <c r="J260" s="61">
        <v>0.3</v>
      </c>
      <c r="K260" s="40">
        <f t="shared" si="59"/>
        <v>5180000</v>
      </c>
      <c r="L260" s="29">
        <f>2160000+(2160000*L256)</f>
        <v>2462400</v>
      </c>
    </row>
    <row r="261" spans="1:13" ht="15.75" thickBot="1" x14ac:dyDescent="0.3">
      <c r="A261" s="37" t="s">
        <v>11</v>
      </c>
      <c r="B261" s="37" t="s">
        <v>78</v>
      </c>
      <c r="C261" s="164" t="s">
        <v>78</v>
      </c>
      <c r="D261" s="39" t="s">
        <v>300</v>
      </c>
      <c r="E261" s="40">
        <v>3000000</v>
      </c>
      <c r="F261" s="41">
        <v>1</v>
      </c>
      <c r="G261" s="41">
        <v>1</v>
      </c>
      <c r="H261" s="40">
        <f t="shared" si="58"/>
        <v>1</v>
      </c>
      <c r="I261" s="40">
        <f>H261*E261</f>
        <v>3000000</v>
      </c>
      <c r="J261" s="61">
        <v>0.28933333333333333</v>
      </c>
      <c r="K261" s="40">
        <f t="shared" si="59"/>
        <v>2132000</v>
      </c>
      <c r="L261" s="29">
        <f>4400000+(4400000*L256)</f>
        <v>5016000</v>
      </c>
    </row>
    <row r="262" spans="1:13" ht="15.75" x14ac:dyDescent="0.25">
      <c r="A262" s="44"/>
      <c r="B262" s="44"/>
      <c r="C262" s="44"/>
      <c r="D262" s="44"/>
      <c r="E262" s="44"/>
      <c r="F262" s="44"/>
      <c r="G262" s="44"/>
      <c r="H262" s="44"/>
      <c r="I262" s="45">
        <f>SUM(I257:I261)</f>
        <v>20420000</v>
      </c>
      <c r="J262" s="62"/>
      <c r="K262" s="173">
        <f>SUM(K257:K261)</f>
        <v>14300000</v>
      </c>
    </row>
    <row r="264" spans="1:13" ht="15.75" thickBot="1" x14ac:dyDescent="0.3"/>
    <row r="265" spans="1:13" ht="18.75" thickBot="1" x14ac:dyDescent="0.3">
      <c r="A265" s="392" t="s">
        <v>304</v>
      </c>
      <c r="B265" s="380"/>
      <c r="C265" s="380"/>
      <c r="D265" s="380"/>
      <c r="E265" s="380"/>
      <c r="F265" s="380"/>
      <c r="G265" s="380"/>
      <c r="H265" s="380"/>
      <c r="I265" s="380"/>
      <c r="J265" s="380"/>
      <c r="K265" s="381"/>
    </row>
    <row r="266" spans="1:13" ht="15.75" thickBot="1" x14ac:dyDescent="0.3">
      <c r="A266" s="160" t="s">
        <v>63</v>
      </c>
      <c r="B266" s="161" t="s">
        <v>64</v>
      </c>
      <c r="C266" s="161" t="s">
        <v>65</v>
      </c>
      <c r="D266" s="161" t="s">
        <v>66</v>
      </c>
      <c r="E266" s="161" t="s">
        <v>67</v>
      </c>
      <c r="F266" s="161" t="s">
        <v>68</v>
      </c>
      <c r="G266" s="161" t="s">
        <v>69</v>
      </c>
      <c r="H266" s="161" t="s">
        <v>70</v>
      </c>
      <c r="I266" s="162" t="s">
        <v>71</v>
      </c>
      <c r="J266" s="172" t="s">
        <v>72</v>
      </c>
      <c r="K266" s="163" t="s">
        <v>73</v>
      </c>
      <c r="L266" s="48">
        <v>0.14000000000000001</v>
      </c>
      <c r="M266" s="48">
        <v>0.2</v>
      </c>
    </row>
    <row r="267" spans="1:13" x14ac:dyDescent="0.25">
      <c r="A267" s="37" t="s">
        <v>11</v>
      </c>
      <c r="B267" s="37" t="s">
        <v>97</v>
      </c>
      <c r="C267" s="164" t="s">
        <v>87</v>
      </c>
      <c r="D267" s="39" t="s">
        <v>98</v>
      </c>
      <c r="E267" s="40">
        <v>1420000</v>
      </c>
      <c r="F267" s="41">
        <v>1</v>
      </c>
      <c r="G267" s="41">
        <v>1</v>
      </c>
      <c r="H267" s="40">
        <f>F267*G267</f>
        <v>1</v>
      </c>
      <c r="I267" s="40">
        <f>H267*E267</f>
        <v>1420000</v>
      </c>
      <c r="J267" s="61">
        <v>0.6</v>
      </c>
      <c r="K267" s="40">
        <f>I267-(I267*J267)</f>
        <v>568000</v>
      </c>
      <c r="L267" s="29"/>
      <c r="M267" s="29">
        <f>2847000+(2847000*M266)</f>
        <v>3416400</v>
      </c>
    </row>
    <row r="268" spans="1:13" x14ac:dyDescent="0.25">
      <c r="A268" s="37" t="s">
        <v>11</v>
      </c>
      <c r="B268" s="37" t="s">
        <v>78</v>
      </c>
      <c r="C268" s="164" t="s">
        <v>78</v>
      </c>
      <c r="D268" s="39" t="s">
        <v>79</v>
      </c>
      <c r="E268" s="40">
        <v>4000000</v>
      </c>
      <c r="F268" s="41">
        <v>1</v>
      </c>
      <c r="G268" s="41">
        <v>1</v>
      </c>
      <c r="H268" s="40">
        <f t="shared" ref="H268:H271" si="60">F268*G268</f>
        <v>1</v>
      </c>
      <c r="I268" s="40">
        <f>H268*E268</f>
        <v>4000000</v>
      </c>
      <c r="J268" s="61">
        <v>0.2</v>
      </c>
      <c r="K268" s="40">
        <f t="shared" ref="K268:K271" si="61">I268-(I268*J268)</f>
        <v>3200000</v>
      </c>
      <c r="L268" s="29">
        <f>2000000+(2000000*L266)</f>
        <v>2280000</v>
      </c>
    </row>
    <row r="269" spans="1:13" x14ac:dyDescent="0.25">
      <c r="A269" s="37" t="s">
        <v>11</v>
      </c>
      <c r="B269" s="37" t="s">
        <v>78</v>
      </c>
      <c r="C269" s="164" t="s">
        <v>78</v>
      </c>
      <c r="D269" s="43" t="s">
        <v>80</v>
      </c>
      <c r="E269" s="40">
        <v>4600000</v>
      </c>
      <c r="F269" s="41">
        <v>1</v>
      </c>
      <c r="G269" s="41">
        <v>1</v>
      </c>
      <c r="H269" s="40">
        <f t="shared" si="60"/>
        <v>1</v>
      </c>
      <c r="I269" s="40">
        <f>H269*E269</f>
        <v>4600000</v>
      </c>
      <c r="J269" s="61">
        <v>0.3</v>
      </c>
      <c r="K269" s="40">
        <f t="shared" si="61"/>
        <v>3220000</v>
      </c>
      <c r="L269" s="29">
        <f>1500000+(1500000*L266)</f>
        <v>1710000</v>
      </c>
    </row>
    <row r="270" spans="1:13" x14ac:dyDescent="0.25">
      <c r="A270" s="37" t="s">
        <v>11</v>
      </c>
      <c r="B270" s="37" t="s">
        <v>78</v>
      </c>
      <c r="C270" s="164" t="s">
        <v>78</v>
      </c>
      <c r="D270" s="43" t="s">
        <v>81</v>
      </c>
      <c r="E270" s="40">
        <v>7400000</v>
      </c>
      <c r="F270" s="41">
        <v>1</v>
      </c>
      <c r="G270" s="41">
        <v>1</v>
      </c>
      <c r="H270" s="40">
        <f t="shared" si="60"/>
        <v>1</v>
      </c>
      <c r="I270" s="40">
        <f>H270*E270</f>
        <v>7400000</v>
      </c>
      <c r="J270" s="61">
        <v>0.3</v>
      </c>
      <c r="K270" s="40">
        <f t="shared" si="61"/>
        <v>5180000</v>
      </c>
      <c r="L270" s="29">
        <f>2160000+(2160000*L266)</f>
        <v>2462400</v>
      </c>
    </row>
    <row r="271" spans="1:13" ht="15.75" thickBot="1" x14ac:dyDescent="0.3">
      <c r="A271" s="37" t="s">
        <v>11</v>
      </c>
      <c r="B271" s="37" t="s">
        <v>78</v>
      </c>
      <c r="C271" s="164" t="s">
        <v>78</v>
      </c>
      <c r="D271" s="39" t="s">
        <v>300</v>
      </c>
      <c r="E271" s="40">
        <v>3000000</v>
      </c>
      <c r="F271" s="41">
        <v>1</v>
      </c>
      <c r="G271" s="41">
        <v>1</v>
      </c>
      <c r="H271" s="40">
        <f t="shared" si="60"/>
        <v>1</v>
      </c>
      <c r="I271" s="40">
        <f>H271*E271</f>
        <v>3000000</v>
      </c>
      <c r="J271" s="61">
        <v>0.22266666666666668</v>
      </c>
      <c r="K271" s="40">
        <f t="shared" si="61"/>
        <v>2332000</v>
      </c>
      <c r="L271" s="29">
        <f>4400000+(4400000*L266)</f>
        <v>5016000</v>
      </c>
    </row>
    <row r="272" spans="1:13" ht="15.75" x14ac:dyDescent="0.25">
      <c r="A272" s="44"/>
      <c r="B272" s="44"/>
      <c r="C272" s="44"/>
      <c r="D272" s="44"/>
      <c r="E272" s="44"/>
      <c r="F272" s="44"/>
      <c r="G272" s="44"/>
      <c r="H272" s="44"/>
      <c r="I272" s="45">
        <f>SUM(I267:I271)</f>
        <v>20420000</v>
      </c>
      <c r="J272" s="62"/>
      <c r="K272" s="173">
        <f>SUM(K267:K271)</f>
        <v>14500000</v>
      </c>
    </row>
  </sheetData>
  <mergeCells count="30">
    <mergeCell ref="A122:K122"/>
    <mergeCell ref="A130:K130"/>
    <mergeCell ref="A175:K175"/>
    <mergeCell ref="A183:K183"/>
    <mergeCell ref="A70:K70"/>
    <mergeCell ref="A78:K78"/>
    <mergeCell ref="A113:K113"/>
    <mergeCell ref="A62:K62"/>
    <mergeCell ref="A1:K1"/>
    <mergeCell ref="A9:K9"/>
    <mergeCell ref="A18:K18"/>
    <mergeCell ref="A36:K36"/>
    <mergeCell ref="A44:K44"/>
    <mergeCell ref="A27:K27"/>
    <mergeCell ref="A237:K237"/>
    <mergeCell ref="A246:K246"/>
    <mergeCell ref="A255:K255"/>
    <mergeCell ref="A265:K265"/>
    <mergeCell ref="A53:K53"/>
    <mergeCell ref="A203:K203"/>
    <mergeCell ref="A213:K213"/>
    <mergeCell ref="A223:K223"/>
    <mergeCell ref="A166:K166"/>
    <mergeCell ref="A193:K193"/>
    <mergeCell ref="A87:K87"/>
    <mergeCell ref="A95:K95"/>
    <mergeCell ref="A104:K104"/>
    <mergeCell ref="A140:K140"/>
    <mergeCell ref="A148:K148"/>
    <mergeCell ref="A157:K1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D435-0B22-4C90-8633-D4BBE694DD5B}">
  <dimension ref="B2:L253"/>
  <sheetViews>
    <sheetView showGridLines="0" topLeftCell="A91" workbookViewId="0">
      <selection activeCell="G85" sqref="G85"/>
    </sheetView>
  </sheetViews>
  <sheetFormatPr baseColWidth="10" defaultRowHeight="15" x14ac:dyDescent="0.25"/>
  <cols>
    <col min="2" max="2" width="18.42578125" customWidth="1"/>
    <col min="3" max="3" width="12.85546875" customWidth="1"/>
    <col min="4" max="4" width="29.85546875" customWidth="1"/>
    <col min="9" max="9" width="15" customWidth="1"/>
    <col min="10" max="10" width="13.140625" customWidth="1"/>
  </cols>
  <sheetData>
    <row r="2" spans="2:11" ht="15.75" thickBot="1" x14ac:dyDescent="0.3"/>
    <row r="3" spans="2:11" ht="18.75" thickBot="1" x14ac:dyDescent="0.3">
      <c r="B3" s="399" t="s">
        <v>333</v>
      </c>
      <c r="C3" s="394"/>
      <c r="D3" s="394"/>
      <c r="E3" s="394"/>
      <c r="F3" s="394"/>
      <c r="G3" s="394"/>
      <c r="H3" s="394"/>
      <c r="I3" s="394"/>
      <c r="J3" s="394"/>
      <c r="K3" s="395"/>
    </row>
    <row r="4" spans="2:11" ht="15.75" thickBot="1" x14ac:dyDescent="0.3">
      <c r="B4" s="33" t="s">
        <v>63</v>
      </c>
      <c r="C4" s="34" t="s">
        <v>65</v>
      </c>
      <c r="D4" s="34" t="s">
        <v>66</v>
      </c>
      <c r="E4" s="34" t="s">
        <v>67</v>
      </c>
      <c r="F4" s="34" t="s">
        <v>68</v>
      </c>
      <c r="G4" s="34" t="s">
        <v>69</v>
      </c>
      <c r="H4" s="34" t="s">
        <v>70</v>
      </c>
      <c r="I4" s="35" t="s">
        <v>71</v>
      </c>
      <c r="J4" s="34" t="s">
        <v>72</v>
      </c>
      <c r="K4" s="36" t="s">
        <v>73</v>
      </c>
    </row>
    <row r="5" spans="2:11" x14ac:dyDescent="0.25">
      <c r="B5" s="37" t="s">
        <v>8</v>
      </c>
      <c r="C5" s="38" t="s">
        <v>162</v>
      </c>
      <c r="D5" s="43" t="s">
        <v>148</v>
      </c>
      <c r="E5" s="40">
        <v>6000000</v>
      </c>
      <c r="F5" s="41">
        <v>3</v>
      </c>
      <c r="G5" s="41">
        <v>1</v>
      </c>
      <c r="H5" s="40">
        <f t="shared" ref="H5:H10" si="0">F5*G5</f>
        <v>3</v>
      </c>
      <c r="I5" s="40">
        <f t="shared" ref="I5:I10" si="1">H5*E5</f>
        <v>18000000</v>
      </c>
      <c r="J5" s="42">
        <v>0.78</v>
      </c>
      <c r="K5" s="40">
        <f t="shared" ref="K5:K10" si="2">I5-(I5*J5)</f>
        <v>3960000</v>
      </c>
    </row>
    <row r="6" spans="2:11" x14ac:dyDescent="0.25">
      <c r="B6" s="37" t="s">
        <v>8</v>
      </c>
      <c r="C6" s="38" t="s">
        <v>162</v>
      </c>
      <c r="D6" s="43" t="s">
        <v>164</v>
      </c>
      <c r="E6" s="40">
        <v>10300000</v>
      </c>
      <c r="F6" s="41">
        <v>3</v>
      </c>
      <c r="G6" s="41">
        <v>1</v>
      </c>
      <c r="H6" s="40">
        <f t="shared" si="0"/>
        <v>3</v>
      </c>
      <c r="I6" s="40">
        <f t="shared" si="1"/>
        <v>30900000</v>
      </c>
      <c r="J6" s="42">
        <v>0.78</v>
      </c>
      <c r="K6" s="40">
        <f t="shared" si="2"/>
        <v>6798000</v>
      </c>
    </row>
    <row r="7" spans="2:11" x14ac:dyDescent="0.25">
      <c r="B7" s="37" t="s">
        <v>8</v>
      </c>
      <c r="C7" s="38" t="s">
        <v>162</v>
      </c>
      <c r="D7" s="43" t="s">
        <v>165</v>
      </c>
      <c r="E7" s="40">
        <v>3280000</v>
      </c>
      <c r="F7" s="41">
        <v>3</v>
      </c>
      <c r="G7" s="41">
        <v>1</v>
      </c>
      <c r="H7" s="40">
        <f t="shared" si="0"/>
        <v>3</v>
      </c>
      <c r="I7" s="40">
        <f t="shared" si="1"/>
        <v>9840000</v>
      </c>
      <c r="J7" s="42">
        <v>0.78</v>
      </c>
      <c r="K7" s="40">
        <f t="shared" si="2"/>
        <v>2164800</v>
      </c>
    </row>
    <row r="8" spans="2:11" x14ac:dyDescent="0.25">
      <c r="B8" s="37" t="s">
        <v>8</v>
      </c>
      <c r="C8" s="38" t="s">
        <v>78</v>
      </c>
      <c r="D8" s="43" t="s">
        <v>79</v>
      </c>
      <c r="E8" s="40">
        <v>8000000</v>
      </c>
      <c r="F8" s="41">
        <v>1</v>
      </c>
      <c r="G8" s="41">
        <v>1</v>
      </c>
      <c r="H8" s="40">
        <f t="shared" si="0"/>
        <v>1</v>
      </c>
      <c r="I8" s="40">
        <f t="shared" si="1"/>
        <v>8000000</v>
      </c>
      <c r="J8" s="42">
        <v>9.0349999999999958E-2</v>
      </c>
      <c r="K8" s="40">
        <f t="shared" si="2"/>
        <v>7277200</v>
      </c>
    </row>
    <row r="9" spans="2:11" x14ac:dyDescent="0.25">
      <c r="B9" s="37" t="s">
        <v>8</v>
      </c>
      <c r="C9" s="38" t="s">
        <v>78</v>
      </c>
      <c r="D9" s="43" t="s">
        <v>80</v>
      </c>
      <c r="E9" s="40">
        <v>4000000</v>
      </c>
      <c r="F9" s="41">
        <v>1</v>
      </c>
      <c r="G9" s="41">
        <v>1</v>
      </c>
      <c r="H9" s="40">
        <f t="shared" si="0"/>
        <v>1</v>
      </c>
      <c r="I9" s="40">
        <f t="shared" si="1"/>
        <v>4000000</v>
      </c>
      <c r="J9" s="142">
        <v>0.4</v>
      </c>
      <c r="K9" s="40">
        <f t="shared" si="2"/>
        <v>2400000</v>
      </c>
    </row>
    <row r="10" spans="2:11" ht="15.75" thickBot="1" x14ac:dyDescent="0.3">
      <c r="B10" s="37" t="s">
        <v>8</v>
      </c>
      <c r="C10" s="38" t="s">
        <v>78</v>
      </c>
      <c r="D10" s="43" t="s">
        <v>81</v>
      </c>
      <c r="E10" s="40">
        <v>4000000</v>
      </c>
      <c r="F10" s="41">
        <v>1</v>
      </c>
      <c r="G10" s="41">
        <v>1</v>
      </c>
      <c r="H10" s="40">
        <f t="shared" si="0"/>
        <v>1</v>
      </c>
      <c r="I10" s="40">
        <f t="shared" si="1"/>
        <v>4000000</v>
      </c>
      <c r="J10" s="42">
        <v>0.4</v>
      </c>
      <c r="K10" s="40">
        <f t="shared" si="2"/>
        <v>2400000</v>
      </c>
    </row>
    <row r="11" spans="2:11" ht="15.75" x14ac:dyDescent="0.25">
      <c r="B11" s="44"/>
      <c r="C11" s="44"/>
      <c r="D11" s="44"/>
      <c r="E11" s="44"/>
      <c r="F11" s="44"/>
      <c r="G11" s="44"/>
      <c r="H11" s="44"/>
      <c r="I11" s="45">
        <f>SUM(I5:I10)</f>
        <v>74740000</v>
      </c>
      <c r="J11" s="44"/>
      <c r="K11" s="46">
        <f>SUM(K5:K10)</f>
        <v>25000000</v>
      </c>
    </row>
    <row r="13" spans="2:11" ht="15.75" thickBot="1" x14ac:dyDescent="0.3"/>
    <row r="14" spans="2:11" ht="18.75" thickBot="1" x14ac:dyDescent="0.3">
      <c r="B14" s="399" t="s">
        <v>332</v>
      </c>
      <c r="C14" s="394"/>
      <c r="D14" s="394"/>
      <c r="E14" s="394"/>
      <c r="F14" s="394"/>
      <c r="G14" s="394"/>
      <c r="H14" s="394"/>
      <c r="I14" s="394"/>
      <c r="J14" s="394"/>
      <c r="K14" s="395"/>
    </row>
    <row r="15" spans="2:11" ht="15.75" thickBot="1" x14ac:dyDescent="0.3">
      <c r="B15" s="33" t="s">
        <v>63</v>
      </c>
      <c r="C15" s="34" t="s">
        <v>65</v>
      </c>
      <c r="D15" s="34" t="s">
        <v>66</v>
      </c>
      <c r="E15" s="34" t="s">
        <v>67</v>
      </c>
      <c r="F15" s="34" t="s">
        <v>68</v>
      </c>
      <c r="G15" s="34" t="s">
        <v>69</v>
      </c>
      <c r="H15" s="34" t="s">
        <v>70</v>
      </c>
      <c r="I15" s="35" t="s">
        <v>71</v>
      </c>
      <c r="J15" s="34" t="s">
        <v>72</v>
      </c>
      <c r="K15" s="36" t="s">
        <v>73</v>
      </c>
    </row>
    <row r="16" spans="2:11" x14ac:dyDescent="0.25">
      <c r="B16" s="37" t="s">
        <v>8</v>
      </c>
      <c r="C16" s="38" t="s">
        <v>162</v>
      </c>
      <c r="D16" s="43" t="s">
        <v>148</v>
      </c>
      <c r="E16" s="40">
        <v>6000000</v>
      </c>
      <c r="F16" s="41">
        <v>3</v>
      </c>
      <c r="G16" s="41">
        <v>1</v>
      </c>
      <c r="H16" s="40">
        <f t="shared" ref="H16:H21" si="3">F16*G16</f>
        <v>3</v>
      </c>
      <c r="I16" s="40">
        <f t="shared" ref="I16:I21" si="4">H16*E16</f>
        <v>18000000</v>
      </c>
      <c r="J16" s="42">
        <v>0.78</v>
      </c>
      <c r="K16" s="40">
        <f t="shared" ref="K16:K21" si="5">I16-(I16*J16)</f>
        <v>3960000</v>
      </c>
    </row>
    <row r="17" spans="2:11" x14ac:dyDescent="0.25">
      <c r="B17" s="37" t="s">
        <v>8</v>
      </c>
      <c r="C17" s="38" t="s">
        <v>162</v>
      </c>
      <c r="D17" s="43" t="s">
        <v>164</v>
      </c>
      <c r="E17" s="40">
        <v>10300000</v>
      </c>
      <c r="F17" s="41">
        <v>3</v>
      </c>
      <c r="G17" s="41">
        <v>1</v>
      </c>
      <c r="H17" s="40">
        <f t="shared" si="3"/>
        <v>3</v>
      </c>
      <c r="I17" s="40">
        <f t="shared" si="4"/>
        <v>30900000</v>
      </c>
      <c r="J17" s="42">
        <v>0.78</v>
      </c>
      <c r="K17" s="40">
        <f t="shared" si="5"/>
        <v>6798000</v>
      </c>
    </row>
    <row r="18" spans="2:11" x14ac:dyDescent="0.25">
      <c r="B18" s="37" t="s">
        <v>8</v>
      </c>
      <c r="C18" s="38" t="s">
        <v>162</v>
      </c>
      <c r="D18" s="43" t="s">
        <v>165</v>
      </c>
      <c r="E18" s="40">
        <v>3280000</v>
      </c>
      <c r="F18" s="41">
        <v>3</v>
      </c>
      <c r="G18" s="41">
        <v>1</v>
      </c>
      <c r="H18" s="40">
        <f t="shared" si="3"/>
        <v>3</v>
      </c>
      <c r="I18" s="40">
        <f t="shared" si="4"/>
        <v>9840000</v>
      </c>
      <c r="J18" s="42">
        <v>0.78</v>
      </c>
      <c r="K18" s="40">
        <f t="shared" si="5"/>
        <v>2164800</v>
      </c>
    </row>
    <row r="19" spans="2:11" x14ac:dyDescent="0.25">
      <c r="B19" s="37" t="s">
        <v>8</v>
      </c>
      <c r="C19" s="38" t="s">
        <v>78</v>
      </c>
      <c r="D19" s="43" t="s">
        <v>79</v>
      </c>
      <c r="E19" s="40">
        <v>8000000</v>
      </c>
      <c r="F19" s="41">
        <v>1</v>
      </c>
      <c r="G19" s="41">
        <v>1</v>
      </c>
      <c r="H19" s="40">
        <f t="shared" si="3"/>
        <v>1</v>
      </c>
      <c r="I19" s="40">
        <f t="shared" si="4"/>
        <v>8000000</v>
      </c>
      <c r="J19" s="42">
        <v>9.0349999999999958E-2</v>
      </c>
      <c r="K19" s="40">
        <f t="shared" si="5"/>
        <v>7277200</v>
      </c>
    </row>
    <row r="20" spans="2:11" x14ac:dyDescent="0.25">
      <c r="B20" s="37" t="s">
        <v>8</v>
      </c>
      <c r="C20" s="38" t="s">
        <v>78</v>
      </c>
      <c r="D20" s="43" t="s">
        <v>80</v>
      </c>
      <c r="E20" s="40">
        <v>4000000</v>
      </c>
      <c r="F20" s="41">
        <v>1</v>
      </c>
      <c r="G20" s="41">
        <v>1</v>
      </c>
      <c r="H20" s="40">
        <f t="shared" si="3"/>
        <v>1</v>
      </c>
      <c r="I20" s="40">
        <f t="shared" si="4"/>
        <v>4000000</v>
      </c>
      <c r="J20" s="142">
        <v>0.4</v>
      </c>
      <c r="K20" s="40">
        <f t="shared" si="5"/>
        <v>2400000</v>
      </c>
    </row>
    <row r="21" spans="2:11" ht="15.75" thickBot="1" x14ac:dyDescent="0.3">
      <c r="B21" s="37" t="s">
        <v>8</v>
      </c>
      <c r="C21" s="38" t="s">
        <v>78</v>
      </c>
      <c r="D21" s="43" t="s">
        <v>81</v>
      </c>
      <c r="E21" s="40">
        <v>4000000</v>
      </c>
      <c r="F21" s="41">
        <v>1</v>
      </c>
      <c r="G21" s="41">
        <v>1</v>
      </c>
      <c r="H21" s="40">
        <f t="shared" si="3"/>
        <v>1</v>
      </c>
      <c r="I21" s="40">
        <f t="shared" si="4"/>
        <v>4000000</v>
      </c>
      <c r="J21" s="42">
        <v>0.4</v>
      </c>
      <c r="K21" s="40">
        <f t="shared" si="5"/>
        <v>2400000</v>
      </c>
    </row>
    <row r="22" spans="2:11" ht="15.75" x14ac:dyDescent="0.25">
      <c r="B22" s="44"/>
      <c r="C22" s="44"/>
      <c r="D22" s="44"/>
      <c r="E22" s="44"/>
      <c r="F22" s="44"/>
      <c r="G22" s="44"/>
      <c r="H22" s="44"/>
      <c r="I22" s="45">
        <f>SUM(I16:I21)</f>
        <v>74740000</v>
      </c>
      <c r="J22" s="44"/>
      <c r="K22" s="46">
        <f>SUM(K16:K21)</f>
        <v>25000000</v>
      </c>
    </row>
    <row r="24" spans="2:11" ht="15.75" thickBot="1" x14ac:dyDescent="0.3"/>
    <row r="25" spans="2:11" ht="18.75" thickBot="1" x14ac:dyDescent="0.3">
      <c r="B25" s="399" t="s">
        <v>331</v>
      </c>
      <c r="C25" s="394"/>
      <c r="D25" s="394"/>
      <c r="E25" s="394"/>
      <c r="F25" s="394"/>
      <c r="G25" s="394"/>
      <c r="H25" s="394"/>
      <c r="I25" s="394"/>
      <c r="J25" s="394"/>
      <c r="K25" s="395"/>
    </row>
    <row r="26" spans="2:11" ht="15.75" thickBot="1" x14ac:dyDescent="0.3">
      <c r="B26" s="33" t="s">
        <v>63</v>
      </c>
      <c r="C26" s="34" t="s">
        <v>65</v>
      </c>
      <c r="D26" s="34" t="s">
        <v>66</v>
      </c>
      <c r="E26" s="34" t="s">
        <v>67</v>
      </c>
      <c r="F26" s="34" t="s">
        <v>68</v>
      </c>
      <c r="G26" s="34" t="s">
        <v>69</v>
      </c>
      <c r="H26" s="34" t="s">
        <v>70</v>
      </c>
      <c r="I26" s="35" t="s">
        <v>71</v>
      </c>
      <c r="J26" s="34" t="s">
        <v>72</v>
      </c>
      <c r="K26" s="36" t="s">
        <v>73</v>
      </c>
    </row>
    <row r="27" spans="2:11" x14ac:dyDescent="0.25">
      <c r="B27" s="37" t="s">
        <v>8</v>
      </c>
      <c r="C27" s="38" t="s">
        <v>162</v>
      </c>
      <c r="D27" s="43" t="s">
        <v>148</v>
      </c>
      <c r="E27" s="40">
        <v>6000000</v>
      </c>
      <c r="F27" s="41">
        <v>3</v>
      </c>
      <c r="G27" s="41">
        <v>1</v>
      </c>
      <c r="H27" s="40">
        <f t="shared" ref="H27:H32" si="6">F27*G27</f>
        <v>3</v>
      </c>
      <c r="I27" s="40">
        <f t="shared" ref="I27:I32" si="7">H27*E27</f>
        <v>18000000</v>
      </c>
      <c r="J27" s="42">
        <v>0.78</v>
      </c>
      <c r="K27" s="40">
        <f t="shared" ref="K27:K32" si="8">I27-(I27*J27)</f>
        <v>3960000</v>
      </c>
    </row>
    <row r="28" spans="2:11" x14ac:dyDescent="0.25">
      <c r="B28" s="37" t="s">
        <v>8</v>
      </c>
      <c r="C28" s="38" t="s">
        <v>162</v>
      </c>
      <c r="D28" s="43" t="s">
        <v>164</v>
      </c>
      <c r="E28" s="40">
        <v>10300000</v>
      </c>
      <c r="F28" s="41">
        <v>3</v>
      </c>
      <c r="G28" s="41">
        <v>1</v>
      </c>
      <c r="H28" s="40">
        <f t="shared" si="6"/>
        <v>3</v>
      </c>
      <c r="I28" s="40">
        <f t="shared" si="7"/>
        <v>30900000</v>
      </c>
      <c r="J28" s="42">
        <v>0.78</v>
      </c>
      <c r="K28" s="40">
        <f t="shared" si="8"/>
        <v>6798000</v>
      </c>
    </row>
    <row r="29" spans="2:11" x14ac:dyDescent="0.25">
      <c r="B29" s="37" t="s">
        <v>8</v>
      </c>
      <c r="C29" s="38" t="s">
        <v>162</v>
      </c>
      <c r="D29" s="43" t="s">
        <v>165</v>
      </c>
      <c r="E29" s="40">
        <v>3280000</v>
      </c>
      <c r="F29" s="41">
        <v>3</v>
      </c>
      <c r="G29" s="41">
        <v>1</v>
      </c>
      <c r="H29" s="40">
        <f t="shared" si="6"/>
        <v>3</v>
      </c>
      <c r="I29" s="40">
        <f t="shared" si="7"/>
        <v>9840000</v>
      </c>
      <c r="J29" s="42">
        <v>0.78</v>
      </c>
      <c r="K29" s="40">
        <f t="shared" si="8"/>
        <v>2164800</v>
      </c>
    </row>
    <row r="30" spans="2:11" x14ac:dyDescent="0.25">
      <c r="B30" s="37" t="s">
        <v>8</v>
      </c>
      <c r="C30" s="38" t="s">
        <v>78</v>
      </c>
      <c r="D30" s="43" t="s">
        <v>79</v>
      </c>
      <c r="E30" s="40">
        <v>8000000</v>
      </c>
      <c r="F30" s="41">
        <v>1</v>
      </c>
      <c r="G30" s="41">
        <v>1</v>
      </c>
      <c r="H30" s="40">
        <f t="shared" si="6"/>
        <v>1</v>
      </c>
      <c r="I30" s="40">
        <f t="shared" si="7"/>
        <v>8000000</v>
      </c>
      <c r="J30" s="42">
        <v>9.0349999999999958E-2</v>
      </c>
      <c r="K30" s="40">
        <f t="shared" si="8"/>
        <v>7277200</v>
      </c>
    </row>
    <row r="31" spans="2:11" x14ac:dyDescent="0.25">
      <c r="B31" s="37" t="s">
        <v>8</v>
      </c>
      <c r="C31" s="38" t="s">
        <v>78</v>
      </c>
      <c r="D31" s="43" t="s">
        <v>80</v>
      </c>
      <c r="E31" s="40">
        <v>4000000</v>
      </c>
      <c r="F31" s="41">
        <v>1</v>
      </c>
      <c r="G31" s="41">
        <v>1</v>
      </c>
      <c r="H31" s="40">
        <f t="shared" si="6"/>
        <v>1</v>
      </c>
      <c r="I31" s="40">
        <f t="shared" si="7"/>
        <v>4000000</v>
      </c>
      <c r="J31" s="142">
        <v>0.4</v>
      </c>
      <c r="K31" s="40">
        <f t="shared" si="8"/>
        <v>2400000</v>
      </c>
    </row>
    <row r="32" spans="2:11" ht="15.75" thickBot="1" x14ac:dyDescent="0.3">
      <c r="B32" s="37" t="s">
        <v>8</v>
      </c>
      <c r="C32" s="38" t="s">
        <v>78</v>
      </c>
      <c r="D32" s="43" t="s">
        <v>81</v>
      </c>
      <c r="E32" s="40">
        <v>4000000</v>
      </c>
      <c r="F32" s="41">
        <v>1</v>
      </c>
      <c r="G32" s="41">
        <v>1</v>
      </c>
      <c r="H32" s="40">
        <f t="shared" si="6"/>
        <v>1</v>
      </c>
      <c r="I32" s="40">
        <f t="shared" si="7"/>
        <v>4000000</v>
      </c>
      <c r="J32" s="42">
        <v>0.4</v>
      </c>
      <c r="K32" s="40">
        <f t="shared" si="8"/>
        <v>2400000</v>
      </c>
    </row>
    <row r="33" spans="2:11" ht="15.75" x14ac:dyDescent="0.25">
      <c r="B33" s="44"/>
      <c r="C33" s="44"/>
      <c r="D33" s="44"/>
      <c r="E33" s="44"/>
      <c r="F33" s="44"/>
      <c r="G33" s="44"/>
      <c r="H33" s="44"/>
      <c r="I33" s="45">
        <f>SUM(I27:I32)</f>
        <v>74740000</v>
      </c>
      <c r="J33" s="44"/>
      <c r="K33" s="46">
        <f>SUM(K27:K32)</f>
        <v>25000000</v>
      </c>
    </row>
    <row r="35" spans="2:11" ht="15.75" thickBot="1" x14ac:dyDescent="0.3"/>
    <row r="36" spans="2:11" ht="18.75" thickBot="1" x14ac:dyDescent="0.3">
      <c r="B36" s="399" t="s">
        <v>330</v>
      </c>
      <c r="C36" s="394"/>
      <c r="D36" s="394"/>
      <c r="E36" s="394"/>
      <c r="F36" s="394"/>
      <c r="G36" s="394"/>
      <c r="H36" s="394"/>
      <c r="I36" s="394"/>
      <c r="J36" s="394"/>
      <c r="K36" s="395"/>
    </row>
    <row r="37" spans="2:11" ht="15.75" thickBot="1" x14ac:dyDescent="0.3">
      <c r="B37" s="33" t="s">
        <v>63</v>
      </c>
      <c r="C37" s="34" t="s">
        <v>65</v>
      </c>
      <c r="D37" s="34" t="s">
        <v>66</v>
      </c>
      <c r="E37" s="34" t="s">
        <v>67</v>
      </c>
      <c r="F37" s="34" t="s">
        <v>68</v>
      </c>
      <c r="G37" s="34" t="s">
        <v>69</v>
      </c>
      <c r="H37" s="34" t="s">
        <v>70</v>
      </c>
      <c r="I37" s="35" t="s">
        <v>71</v>
      </c>
      <c r="J37" s="34" t="s">
        <v>72</v>
      </c>
      <c r="K37" s="36" t="s">
        <v>73</v>
      </c>
    </row>
    <row r="38" spans="2:11" x14ac:dyDescent="0.25">
      <c r="B38" s="37" t="s">
        <v>8</v>
      </c>
      <c r="C38" s="38" t="s">
        <v>162</v>
      </c>
      <c r="D38" s="43" t="s">
        <v>148</v>
      </c>
      <c r="E38" s="40">
        <v>6000000</v>
      </c>
      <c r="F38" s="41">
        <v>3</v>
      </c>
      <c r="G38" s="41">
        <v>1</v>
      </c>
      <c r="H38" s="40">
        <f t="shared" ref="H38:H43" si="9">F38*G38</f>
        <v>3</v>
      </c>
      <c r="I38" s="40">
        <f t="shared" ref="I38:I43" si="10">H38*E38</f>
        <v>18000000</v>
      </c>
      <c r="J38" s="42">
        <v>0.78</v>
      </c>
      <c r="K38" s="40">
        <f t="shared" ref="K38:K43" si="11">I38-(I38*J38)</f>
        <v>3960000</v>
      </c>
    </row>
    <row r="39" spans="2:11" x14ac:dyDescent="0.25">
      <c r="B39" s="37" t="s">
        <v>8</v>
      </c>
      <c r="C39" s="38" t="s">
        <v>162</v>
      </c>
      <c r="D39" s="43" t="s">
        <v>164</v>
      </c>
      <c r="E39" s="40">
        <v>10300000</v>
      </c>
      <c r="F39" s="41">
        <v>3</v>
      </c>
      <c r="G39" s="41">
        <v>1</v>
      </c>
      <c r="H39" s="40">
        <f t="shared" si="9"/>
        <v>3</v>
      </c>
      <c r="I39" s="40">
        <f t="shared" si="10"/>
        <v>30900000</v>
      </c>
      <c r="J39" s="42">
        <v>0.78</v>
      </c>
      <c r="K39" s="40">
        <f t="shared" si="11"/>
        <v>6798000</v>
      </c>
    </row>
    <row r="40" spans="2:11" x14ac:dyDescent="0.25">
      <c r="B40" s="37" t="s">
        <v>8</v>
      </c>
      <c r="C40" s="38" t="s">
        <v>162</v>
      </c>
      <c r="D40" s="43" t="s">
        <v>165</v>
      </c>
      <c r="E40" s="40">
        <v>3280000</v>
      </c>
      <c r="F40" s="41">
        <v>3</v>
      </c>
      <c r="G40" s="41">
        <v>1</v>
      </c>
      <c r="H40" s="40">
        <f t="shared" si="9"/>
        <v>3</v>
      </c>
      <c r="I40" s="40">
        <f t="shared" si="10"/>
        <v>9840000</v>
      </c>
      <c r="J40" s="42">
        <v>0.78</v>
      </c>
      <c r="K40" s="40">
        <f t="shared" si="11"/>
        <v>2164800</v>
      </c>
    </row>
    <row r="41" spans="2:11" x14ac:dyDescent="0.25">
      <c r="B41" s="37" t="s">
        <v>8</v>
      </c>
      <c r="C41" s="38" t="s">
        <v>78</v>
      </c>
      <c r="D41" s="43" t="s">
        <v>79</v>
      </c>
      <c r="E41" s="40">
        <v>8000000</v>
      </c>
      <c r="F41" s="41">
        <v>1</v>
      </c>
      <c r="G41" s="41">
        <v>1</v>
      </c>
      <c r="H41" s="40">
        <f t="shared" si="9"/>
        <v>1</v>
      </c>
      <c r="I41" s="40">
        <f t="shared" si="10"/>
        <v>8000000</v>
      </c>
      <c r="J41" s="42">
        <v>9.0349999999999958E-2</v>
      </c>
      <c r="K41" s="40">
        <f t="shared" si="11"/>
        <v>7277200</v>
      </c>
    </row>
    <row r="42" spans="2:11" x14ac:dyDescent="0.25">
      <c r="B42" s="37" t="s">
        <v>8</v>
      </c>
      <c r="C42" s="38" t="s">
        <v>78</v>
      </c>
      <c r="D42" s="43" t="s">
        <v>80</v>
      </c>
      <c r="E42" s="40">
        <v>4000000</v>
      </c>
      <c r="F42" s="41">
        <v>1</v>
      </c>
      <c r="G42" s="41">
        <v>1</v>
      </c>
      <c r="H42" s="40">
        <f t="shared" si="9"/>
        <v>1</v>
      </c>
      <c r="I42" s="40">
        <f t="shared" si="10"/>
        <v>4000000</v>
      </c>
      <c r="J42" s="142">
        <v>0.4</v>
      </c>
      <c r="K42" s="40">
        <f t="shared" si="11"/>
        <v>2400000</v>
      </c>
    </row>
    <row r="43" spans="2:11" ht="15.75" thickBot="1" x14ac:dyDescent="0.3">
      <c r="B43" s="37" t="s">
        <v>8</v>
      </c>
      <c r="C43" s="38" t="s">
        <v>78</v>
      </c>
      <c r="D43" s="43" t="s">
        <v>81</v>
      </c>
      <c r="E43" s="40">
        <v>4000000</v>
      </c>
      <c r="F43" s="41">
        <v>1</v>
      </c>
      <c r="G43" s="41">
        <v>1</v>
      </c>
      <c r="H43" s="40">
        <f t="shared" si="9"/>
        <v>1</v>
      </c>
      <c r="I43" s="40">
        <f t="shared" si="10"/>
        <v>4000000</v>
      </c>
      <c r="J43" s="42">
        <v>0.4</v>
      </c>
      <c r="K43" s="40">
        <f t="shared" si="11"/>
        <v>2400000</v>
      </c>
    </row>
    <row r="44" spans="2:11" ht="15.75" x14ac:dyDescent="0.25">
      <c r="B44" s="44"/>
      <c r="C44" s="44"/>
      <c r="D44" s="44"/>
      <c r="E44" s="44"/>
      <c r="F44" s="44"/>
      <c r="G44" s="44"/>
      <c r="H44" s="44"/>
      <c r="I44" s="45">
        <f>SUM(I38:I43)</f>
        <v>74740000</v>
      </c>
      <c r="J44" s="44"/>
      <c r="K44" s="46">
        <f>SUM(K38:K43)</f>
        <v>25000000</v>
      </c>
    </row>
    <row r="45" spans="2:11" ht="15.75" thickBot="1" x14ac:dyDescent="0.3"/>
    <row r="46" spans="2:11" ht="15.75" thickBot="1" x14ac:dyDescent="0.3">
      <c r="B46" s="402" t="s">
        <v>586</v>
      </c>
      <c r="C46" s="403"/>
      <c r="D46" s="403"/>
      <c r="E46" s="403"/>
      <c r="F46" s="403"/>
      <c r="G46" s="403"/>
      <c r="H46" s="403"/>
      <c r="I46" s="403"/>
      <c r="J46" s="403"/>
      <c r="K46" s="404"/>
    </row>
    <row r="47" spans="2:11" ht="15.75" thickBot="1" x14ac:dyDescent="0.3">
      <c r="B47" s="33" t="s">
        <v>63</v>
      </c>
      <c r="C47" s="34" t="s">
        <v>65</v>
      </c>
      <c r="D47" s="34" t="s">
        <v>66</v>
      </c>
      <c r="E47" s="34" t="s">
        <v>67</v>
      </c>
      <c r="F47" s="34" t="s">
        <v>68</v>
      </c>
      <c r="G47" s="34" t="s">
        <v>69</v>
      </c>
      <c r="H47" s="34" t="s">
        <v>70</v>
      </c>
      <c r="I47" s="35" t="s">
        <v>71</v>
      </c>
      <c r="J47" s="34" t="s">
        <v>72</v>
      </c>
      <c r="K47" s="36" t="s">
        <v>73</v>
      </c>
    </row>
    <row r="48" spans="2:11" hidden="1" x14ac:dyDescent="0.25">
      <c r="B48" s="37" t="s">
        <v>8</v>
      </c>
      <c r="C48" s="38" t="s">
        <v>162</v>
      </c>
      <c r="D48" s="43" t="s">
        <v>148</v>
      </c>
      <c r="E48" s="40">
        <v>6000000</v>
      </c>
      <c r="F48" s="41">
        <v>0</v>
      </c>
      <c r="G48" s="41">
        <v>1</v>
      </c>
      <c r="H48" s="40">
        <f t="shared" ref="H48:H53" si="12">F48*G48</f>
        <v>0</v>
      </c>
      <c r="I48" s="40">
        <f t="shared" ref="I48:I53" si="13">H48*E48</f>
        <v>0</v>
      </c>
      <c r="J48" s="42">
        <v>0.78</v>
      </c>
      <c r="K48" s="40">
        <f t="shared" ref="K48:K53" si="14">I48-(I48*J48)</f>
        <v>0</v>
      </c>
    </row>
    <row r="49" spans="2:11" hidden="1" x14ac:dyDescent="0.25">
      <c r="B49" s="37" t="s">
        <v>8</v>
      </c>
      <c r="C49" s="38" t="s">
        <v>162</v>
      </c>
      <c r="D49" s="43" t="s">
        <v>164</v>
      </c>
      <c r="E49" s="40">
        <v>10300000</v>
      </c>
      <c r="F49" s="41">
        <v>0</v>
      </c>
      <c r="G49" s="41">
        <v>1</v>
      </c>
      <c r="H49" s="40">
        <f t="shared" si="12"/>
        <v>0</v>
      </c>
      <c r="I49" s="40">
        <f t="shared" si="13"/>
        <v>0</v>
      </c>
      <c r="J49" s="42">
        <v>0.78</v>
      </c>
      <c r="K49" s="40">
        <f t="shared" si="14"/>
        <v>0</v>
      </c>
    </row>
    <row r="50" spans="2:11" hidden="1" x14ac:dyDescent="0.25">
      <c r="B50" s="37" t="s">
        <v>8</v>
      </c>
      <c r="C50" s="38" t="s">
        <v>162</v>
      </c>
      <c r="D50" s="43" t="s">
        <v>165</v>
      </c>
      <c r="E50" s="40">
        <v>3280000</v>
      </c>
      <c r="F50" s="41">
        <v>0</v>
      </c>
      <c r="G50" s="41">
        <v>1</v>
      </c>
      <c r="H50" s="40">
        <f t="shared" si="12"/>
        <v>0</v>
      </c>
      <c r="I50" s="40">
        <f t="shared" si="13"/>
        <v>0</v>
      </c>
      <c r="J50" s="42">
        <v>0.78</v>
      </c>
      <c r="K50" s="40">
        <f t="shared" si="14"/>
        <v>0</v>
      </c>
    </row>
    <row r="51" spans="2:11" x14ac:dyDescent="0.25">
      <c r="B51" s="37" t="s">
        <v>8</v>
      </c>
      <c r="C51" s="38" t="s">
        <v>78</v>
      </c>
      <c r="D51" s="43" t="s">
        <v>79</v>
      </c>
      <c r="E51" s="40">
        <v>10000000</v>
      </c>
      <c r="F51" s="41">
        <v>1</v>
      </c>
      <c r="G51" s="41">
        <v>1</v>
      </c>
      <c r="H51" s="40">
        <f t="shared" si="12"/>
        <v>1</v>
      </c>
      <c r="I51" s="40">
        <f t="shared" si="13"/>
        <v>10000000</v>
      </c>
      <c r="J51" s="42">
        <v>0.12</v>
      </c>
      <c r="K51" s="40">
        <f t="shared" si="14"/>
        <v>8800000</v>
      </c>
    </row>
    <row r="52" spans="2:11" x14ac:dyDescent="0.25">
      <c r="B52" s="37" t="s">
        <v>8</v>
      </c>
      <c r="C52" s="38" t="s">
        <v>78</v>
      </c>
      <c r="D52" s="43" t="s">
        <v>80</v>
      </c>
      <c r="E52" s="40">
        <v>4000000</v>
      </c>
      <c r="F52" s="41">
        <v>1</v>
      </c>
      <c r="G52" s="41">
        <v>1</v>
      </c>
      <c r="H52" s="40">
        <f t="shared" si="12"/>
        <v>1</v>
      </c>
      <c r="I52" s="40">
        <f t="shared" si="13"/>
        <v>4000000</v>
      </c>
      <c r="J52" s="142">
        <v>0.6</v>
      </c>
      <c r="K52" s="40">
        <f t="shared" si="14"/>
        <v>1600000</v>
      </c>
    </row>
    <row r="53" spans="2:11" ht="15.75" thickBot="1" x14ac:dyDescent="0.3">
      <c r="B53" s="37" t="s">
        <v>8</v>
      </c>
      <c r="C53" s="38" t="s">
        <v>78</v>
      </c>
      <c r="D53" s="43" t="s">
        <v>81</v>
      </c>
      <c r="E53" s="40">
        <v>4000000</v>
      </c>
      <c r="F53" s="41">
        <v>1</v>
      </c>
      <c r="G53" s="41">
        <v>1</v>
      </c>
      <c r="H53" s="40">
        <f t="shared" si="12"/>
        <v>1</v>
      </c>
      <c r="I53" s="40">
        <f t="shared" si="13"/>
        <v>4000000</v>
      </c>
      <c r="J53" s="42">
        <v>0.6</v>
      </c>
      <c r="K53" s="40">
        <f t="shared" si="14"/>
        <v>1600000</v>
      </c>
    </row>
    <row r="54" spans="2:11" ht="15.75" x14ac:dyDescent="0.25">
      <c r="B54" s="44"/>
      <c r="C54" s="44"/>
      <c r="D54" s="44"/>
      <c r="E54" s="44"/>
      <c r="F54" s="44"/>
      <c r="G54" s="44"/>
      <c r="H54" s="44"/>
      <c r="I54" s="45">
        <f>SUM(I48:I53)</f>
        <v>18000000</v>
      </c>
      <c r="J54" s="44"/>
      <c r="K54" s="192">
        <f>SUM(K48:K53)</f>
        <v>12000000</v>
      </c>
    </row>
    <row r="55" spans="2:11" ht="15.75" thickBot="1" x14ac:dyDescent="0.3"/>
    <row r="56" spans="2:11" ht="15.75" thickBot="1" x14ac:dyDescent="0.3">
      <c r="B56" s="405" t="s">
        <v>334</v>
      </c>
      <c r="C56" s="406"/>
      <c r="D56" s="406"/>
      <c r="E56" s="406"/>
      <c r="F56" s="406"/>
      <c r="G56" s="406"/>
      <c r="H56" s="406"/>
      <c r="I56" s="406"/>
      <c r="J56" s="406"/>
      <c r="K56" s="407"/>
    </row>
    <row r="57" spans="2:11" ht="15.75" thickBot="1" x14ac:dyDescent="0.3">
      <c r="B57" s="33" t="s">
        <v>63</v>
      </c>
      <c r="C57" s="34" t="s">
        <v>65</v>
      </c>
      <c r="D57" s="34" t="s">
        <v>66</v>
      </c>
      <c r="E57" s="34" t="s">
        <v>67</v>
      </c>
      <c r="F57" s="34" t="s">
        <v>68</v>
      </c>
      <c r="G57" s="34" t="s">
        <v>69</v>
      </c>
      <c r="H57" s="34" t="s">
        <v>70</v>
      </c>
      <c r="I57" s="35" t="s">
        <v>71</v>
      </c>
      <c r="J57" s="34" t="s">
        <v>72</v>
      </c>
      <c r="K57" s="36" t="s">
        <v>73</v>
      </c>
    </row>
    <row r="58" spans="2:11" hidden="1" x14ac:dyDescent="0.25">
      <c r="B58" s="37" t="s">
        <v>8</v>
      </c>
      <c r="C58" s="38" t="s">
        <v>162</v>
      </c>
      <c r="D58" s="43" t="s">
        <v>148</v>
      </c>
      <c r="E58" s="40">
        <v>6000000</v>
      </c>
      <c r="F58" s="41">
        <v>0</v>
      </c>
      <c r="G58" s="41">
        <v>1</v>
      </c>
      <c r="H58" s="40">
        <f t="shared" ref="H58:H63" si="15">F58*G58</f>
        <v>0</v>
      </c>
      <c r="I58" s="40">
        <f t="shared" ref="I58:I63" si="16">H58*E58</f>
        <v>0</v>
      </c>
      <c r="J58" s="42">
        <v>0.78</v>
      </c>
      <c r="K58" s="40">
        <f t="shared" ref="K58:K63" si="17">I58-(I58*J58)</f>
        <v>0</v>
      </c>
    </row>
    <row r="59" spans="2:11" hidden="1" x14ac:dyDescent="0.25">
      <c r="B59" s="37" t="s">
        <v>8</v>
      </c>
      <c r="C59" s="38" t="s">
        <v>162</v>
      </c>
      <c r="D59" s="43" t="s">
        <v>164</v>
      </c>
      <c r="E59" s="40">
        <v>10300000</v>
      </c>
      <c r="F59" s="41">
        <v>0</v>
      </c>
      <c r="G59" s="41">
        <v>1</v>
      </c>
      <c r="H59" s="40">
        <f t="shared" si="15"/>
        <v>0</v>
      </c>
      <c r="I59" s="40">
        <f t="shared" si="16"/>
        <v>0</v>
      </c>
      <c r="J59" s="42">
        <v>0.78</v>
      </c>
      <c r="K59" s="40">
        <f t="shared" si="17"/>
        <v>0</v>
      </c>
    </row>
    <row r="60" spans="2:11" hidden="1" x14ac:dyDescent="0.25">
      <c r="B60" s="37" t="s">
        <v>8</v>
      </c>
      <c r="C60" s="38" t="s">
        <v>162</v>
      </c>
      <c r="D60" s="43" t="s">
        <v>165</v>
      </c>
      <c r="E60" s="40">
        <v>3280000</v>
      </c>
      <c r="F60" s="41">
        <v>0</v>
      </c>
      <c r="G60" s="41">
        <v>1</v>
      </c>
      <c r="H60" s="40">
        <f t="shared" si="15"/>
        <v>0</v>
      </c>
      <c r="I60" s="40">
        <f t="shared" si="16"/>
        <v>0</v>
      </c>
      <c r="J60" s="42">
        <v>0.78</v>
      </c>
      <c r="K60" s="40">
        <f t="shared" si="17"/>
        <v>0</v>
      </c>
    </row>
    <row r="61" spans="2:11" x14ac:dyDescent="0.25">
      <c r="B61" s="37" t="s">
        <v>8</v>
      </c>
      <c r="C61" s="38" t="s">
        <v>78</v>
      </c>
      <c r="D61" s="43" t="s">
        <v>79</v>
      </c>
      <c r="E61" s="40">
        <v>8000000</v>
      </c>
      <c r="F61" s="41">
        <v>1</v>
      </c>
      <c r="G61" s="41">
        <v>1</v>
      </c>
      <c r="H61" s="40">
        <f t="shared" si="15"/>
        <v>1</v>
      </c>
      <c r="I61" s="40">
        <f t="shared" si="16"/>
        <v>8000000</v>
      </c>
      <c r="J61" s="42">
        <v>0.125</v>
      </c>
      <c r="K61" s="40">
        <f t="shared" si="17"/>
        <v>7000000</v>
      </c>
    </row>
    <row r="62" spans="2:11" x14ac:dyDescent="0.25">
      <c r="B62" s="37" t="s">
        <v>8</v>
      </c>
      <c r="C62" s="38" t="s">
        <v>78</v>
      </c>
      <c r="D62" s="43" t="s">
        <v>80</v>
      </c>
      <c r="E62" s="40">
        <v>4000000</v>
      </c>
      <c r="F62" s="41">
        <v>1</v>
      </c>
      <c r="G62" s="41">
        <v>1</v>
      </c>
      <c r="H62" s="40">
        <f t="shared" si="15"/>
        <v>1</v>
      </c>
      <c r="I62" s="40">
        <f t="shared" si="16"/>
        <v>4000000</v>
      </c>
      <c r="J62" s="142">
        <v>0.5</v>
      </c>
      <c r="K62" s="40">
        <f t="shared" si="17"/>
        <v>2000000</v>
      </c>
    </row>
    <row r="63" spans="2:11" ht="15.75" thickBot="1" x14ac:dyDescent="0.3">
      <c r="B63" s="37" t="s">
        <v>8</v>
      </c>
      <c r="C63" s="38" t="s">
        <v>78</v>
      </c>
      <c r="D63" s="43" t="s">
        <v>81</v>
      </c>
      <c r="E63" s="40">
        <v>4000000</v>
      </c>
      <c r="F63" s="41">
        <v>1</v>
      </c>
      <c r="G63" s="41">
        <v>1</v>
      </c>
      <c r="H63" s="40">
        <f t="shared" si="15"/>
        <v>1</v>
      </c>
      <c r="I63" s="40">
        <f t="shared" si="16"/>
        <v>4000000</v>
      </c>
      <c r="J63" s="42">
        <v>0.5</v>
      </c>
      <c r="K63" s="40">
        <f t="shared" si="17"/>
        <v>2000000</v>
      </c>
    </row>
    <row r="64" spans="2:11" ht="15.75" x14ac:dyDescent="0.25">
      <c r="B64" s="44"/>
      <c r="C64" s="44"/>
      <c r="D64" s="44"/>
      <c r="E64" s="44"/>
      <c r="F64" s="44"/>
      <c r="G64" s="44"/>
      <c r="H64" s="44"/>
      <c r="I64" s="45">
        <f>SUM(I58:I63)</f>
        <v>16000000</v>
      </c>
      <c r="J64" s="44"/>
      <c r="K64" s="192">
        <f>SUM(K58:K63)</f>
        <v>11000000</v>
      </c>
    </row>
    <row r="65" spans="2:11" ht="15.75" x14ac:dyDescent="0.25">
      <c r="B65" s="44"/>
      <c r="C65" s="44"/>
      <c r="D65" s="44"/>
      <c r="E65" s="44"/>
      <c r="F65" s="44"/>
      <c r="G65" s="44"/>
      <c r="H65" s="44"/>
      <c r="I65" s="191"/>
      <c r="J65" s="44"/>
      <c r="K65" s="44"/>
    </row>
    <row r="66" spans="2:11" ht="16.5" thickBot="1" x14ac:dyDescent="0.3">
      <c r="B66" s="44"/>
      <c r="C66" s="44"/>
      <c r="D66" s="44"/>
      <c r="E66" s="44"/>
      <c r="F66" s="44"/>
      <c r="G66" s="44"/>
      <c r="H66" s="44"/>
      <c r="I66" s="191"/>
      <c r="J66" s="44"/>
      <c r="K66" s="44"/>
    </row>
    <row r="67" spans="2:11" ht="18.75" thickBot="1" x14ac:dyDescent="0.3">
      <c r="B67" s="399" t="s">
        <v>250</v>
      </c>
      <c r="C67" s="394"/>
      <c r="D67" s="394"/>
      <c r="E67" s="394"/>
      <c r="F67" s="394"/>
      <c r="G67" s="394"/>
      <c r="H67" s="394"/>
      <c r="I67" s="394"/>
      <c r="J67" s="394"/>
      <c r="K67" s="395"/>
    </row>
    <row r="68" spans="2:11" ht="15.75" thickBot="1" x14ac:dyDescent="0.3">
      <c r="B68" s="33" t="s">
        <v>63</v>
      </c>
      <c r="C68" s="34" t="s">
        <v>65</v>
      </c>
      <c r="D68" s="34" t="s">
        <v>66</v>
      </c>
      <c r="E68" s="34" t="s">
        <v>67</v>
      </c>
      <c r="F68" s="34" t="s">
        <v>68</v>
      </c>
      <c r="G68" s="34" t="s">
        <v>69</v>
      </c>
      <c r="H68" s="34" t="s">
        <v>70</v>
      </c>
      <c r="I68" s="35" t="s">
        <v>71</v>
      </c>
      <c r="J68" s="34" t="s">
        <v>72</v>
      </c>
      <c r="K68" s="36" t="s">
        <v>73</v>
      </c>
    </row>
    <row r="69" spans="2:11" x14ac:dyDescent="0.25">
      <c r="B69" s="37" t="s">
        <v>8</v>
      </c>
      <c r="C69" s="38" t="s">
        <v>162</v>
      </c>
      <c r="D69" s="43" t="s">
        <v>148</v>
      </c>
      <c r="E69" s="40">
        <v>6000000</v>
      </c>
      <c r="F69" s="41">
        <v>3</v>
      </c>
      <c r="G69" s="41">
        <v>1</v>
      </c>
      <c r="H69" s="40">
        <f t="shared" ref="H69:H75" si="18">F69*G69</f>
        <v>3</v>
      </c>
      <c r="I69" s="40">
        <f t="shared" ref="I69:I75" si="19">H69*E69</f>
        <v>18000000</v>
      </c>
      <c r="J69" s="42">
        <v>0.78</v>
      </c>
      <c r="K69" s="40">
        <f t="shared" ref="K69:K75" si="20">I69-(I69*J69)</f>
        <v>3960000</v>
      </c>
    </row>
    <row r="70" spans="2:11" x14ac:dyDescent="0.25">
      <c r="B70" s="37" t="s">
        <v>8</v>
      </c>
      <c r="C70" s="38" t="s">
        <v>162</v>
      </c>
      <c r="D70" s="43" t="s">
        <v>164</v>
      </c>
      <c r="E70" s="40">
        <v>10300000</v>
      </c>
      <c r="F70" s="41">
        <v>3</v>
      </c>
      <c r="G70" s="41">
        <v>1</v>
      </c>
      <c r="H70" s="40">
        <f t="shared" si="18"/>
        <v>3</v>
      </c>
      <c r="I70" s="40">
        <f t="shared" si="19"/>
        <v>30900000</v>
      </c>
      <c r="J70" s="42">
        <v>0.78</v>
      </c>
      <c r="K70" s="40">
        <f t="shared" si="20"/>
        <v>6798000</v>
      </c>
    </row>
    <row r="71" spans="2:11" x14ac:dyDescent="0.25">
      <c r="B71" s="37" t="s">
        <v>8</v>
      </c>
      <c r="C71" s="38" t="s">
        <v>162</v>
      </c>
      <c r="D71" s="43" t="s">
        <v>165</v>
      </c>
      <c r="E71" s="40">
        <v>3280000</v>
      </c>
      <c r="F71" s="41">
        <v>3</v>
      </c>
      <c r="G71" s="41">
        <v>1</v>
      </c>
      <c r="H71" s="40">
        <f t="shared" si="18"/>
        <v>3</v>
      </c>
      <c r="I71" s="40">
        <f t="shared" si="19"/>
        <v>9840000</v>
      </c>
      <c r="J71" s="42">
        <v>0.77</v>
      </c>
      <c r="K71" s="40">
        <f t="shared" si="20"/>
        <v>2263200</v>
      </c>
    </row>
    <row r="72" spans="2:11" x14ac:dyDescent="0.25">
      <c r="B72" s="37" t="s">
        <v>8</v>
      </c>
      <c r="C72" s="38" t="s">
        <v>162</v>
      </c>
      <c r="D72" s="43" t="s">
        <v>169</v>
      </c>
      <c r="E72" s="40">
        <v>6000000</v>
      </c>
      <c r="F72" s="41">
        <v>3</v>
      </c>
      <c r="G72" s="41">
        <v>1</v>
      </c>
      <c r="H72" s="40">
        <f t="shared" si="18"/>
        <v>3</v>
      </c>
      <c r="I72" s="40">
        <f t="shared" si="19"/>
        <v>18000000</v>
      </c>
      <c r="J72" s="42">
        <v>0.78</v>
      </c>
      <c r="K72" s="40">
        <f t="shared" si="20"/>
        <v>3960000</v>
      </c>
    </row>
    <row r="73" spans="2:11" x14ac:dyDescent="0.25">
      <c r="B73" s="37" t="s">
        <v>8</v>
      </c>
      <c r="C73" s="38" t="s">
        <v>78</v>
      </c>
      <c r="D73" s="43" t="s">
        <v>79</v>
      </c>
      <c r="E73" s="40">
        <v>26500000</v>
      </c>
      <c r="F73" s="41">
        <v>1</v>
      </c>
      <c r="G73" s="41">
        <v>1</v>
      </c>
      <c r="H73" s="40">
        <f t="shared" si="18"/>
        <v>1</v>
      </c>
      <c r="I73" s="40">
        <f t="shared" si="19"/>
        <v>26500000</v>
      </c>
      <c r="J73" s="42">
        <v>0.12381886792452831</v>
      </c>
      <c r="K73" s="40">
        <f t="shared" si="20"/>
        <v>23218800</v>
      </c>
    </row>
    <row r="74" spans="2:11" x14ac:dyDescent="0.25">
      <c r="B74" s="37" t="s">
        <v>8</v>
      </c>
      <c r="C74" s="38" t="s">
        <v>78</v>
      </c>
      <c r="D74" s="43" t="s">
        <v>80</v>
      </c>
      <c r="E74" s="40">
        <v>4000000</v>
      </c>
      <c r="F74" s="41">
        <v>1</v>
      </c>
      <c r="G74" s="41">
        <v>1</v>
      </c>
      <c r="H74" s="40">
        <f t="shared" si="18"/>
        <v>1</v>
      </c>
      <c r="I74" s="40">
        <f t="shared" si="19"/>
        <v>4000000</v>
      </c>
      <c r="J74" s="42">
        <v>0.4</v>
      </c>
      <c r="K74" s="40">
        <f t="shared" si="20"/>
        <v>2400000</v>
      </c>
    </row>
    <row r="75" spans="2:11" ht="15.75" thickBot="1" x14ac:dyDescent="0.3">
      <c r="B75" s="37" t="s">
        <v>8</v>
      </c>
      <c r="C75" s="38" t="s">
        <v>78</v>
      </c>
      <c r="D75" s="43" t="s">
        <v>81</v>
      </c>
      <c r="E75" s="40">
        <v>4000000</v>
      </c>
      <c r="F75" s="41">
        <v>1</v>
      </c>
      <c r="G75" s="41">
        <v>1</v>
      </c>
      <c r="H75" s="40">
        <f t="shared" si="18"/>
        <v>1</v>
      </c>
      <c r="I75" s="40">
        <f t="shared" si="19"/>
        <v>4000000</v>
      </c>
      <c r="J75" s="42">
        <v>0.4</v>
      </c>
      <c r="K75" s="40">
        <f t="shared" si="20"/>
        <v>2400000</v>
      </c>
    </row>
    <row r="76" spans="2:11" ht="15.75" x14ac:dyDescent="0.25">
      <c r="B76" s="44"/>
      <c r="C76" s="44"/>
      <c r="D76" s="44"/>
      <c r="E76" s="44"/>
      <c r="F76" s="44"/>
      <c r="G76" s="44"/>
      <c r="H76" s="44"/>
      <c r="I76" s="45">
        <f>SUM(I69:I75)</f>
        <v>111240000</v>
      </c>
      <c r="J76" s="44"/>
      <c r="K76" s="46">
        <f>SUM(K69:K75)</f>
        <v>45000000</v>
      </c>
    </row>
    <row r="78" spans="2:11" ht="15.75" thickBot="1" x14ac:dyDescent="0.3"/>
    <row r="79" spans="2:11" ht="18.75" thickBot="1" x14ac:dyDescent="0.3">
      <c r="B79" s="414" t="s">
        <v>583</v>
      </c>
      <c r="C79" s="415"/>
      <c r="D79" s="415"/>
      <c r="E79" s="415"/>
      <c r="F79" s="415"/>
      <c r="G79" s="415"/>
      <c r="H79" s="415"/>
      <c r="I79" s="415"/>
      <c r="J79" s="415"/>
      <c r="K79" s="416"/>
    </row>
    <row r="80" spans="2:11" ht="15.75" thickBot="1" x14ac:dyDescent="0.3">
      <c r="B80" s="212" t="s">
        <v>63</v>
      </c>
      <c r="C80" s="213" t="s">
        <v>65</v>
      </c>
      <c r="D80" s="213" t="s">
        <v>66</v>
      </c>
      <c r="E80" s="213" t="s">
        <v>67</v>
      </c>
      <c r="F80" s="213" t="s">
        <v>68</v>
      </c>
      <c r="G80" s="213" t="s">
        <v>69</v>
      </c>
      <c r="H80" s="213" t="s">
        <v>70</v>
      </c>
      <c r="I80" s="214" t="s">
        <v>71</v>
      </c>
      <c r="J80" s="213" t="s">
        <v>72</v>
      </c>
      <c r="K80" s="215" t="s">
        <v>73</v>
      </c>
    </row>
    <row r="81" spans="2:11" x14ac:dyDescent="0.25">
      <c r="B81" s="37" t="s">
        <v>13</v>
      </c>
      <c r="C81" s="216" t="s">
        <v>162</v>
      </c>
      <c r="D81" s="43" t="s">
        <v>251</v>
      </c>
      <c r="E81" s="40">
        <f>1224000/2</f>
        <v>612000</v>
      </c>
      <c r="F81" s="41">
        <v>15</v>
      </c>
      <c r="G81" s="41">
        <v>1</v>
      </c>
      <c r="H81" s="40">
        <f t="shared" ref="H81:H84" si="21">F81*G81</f>
        <v>15</v>
      </c>
      <c r="I81" s="40">
        <f>H81*E81</f>
        <v>9180000</v>
      </c>
      <c r="J81" s="42">
        <v>0.9</v>
      </c>
      <c r="K81" s="40">
        <f t="shared" ref="K81:K84" si="22">I81-(I81*J81)</f>
        <v>918000</v>
      </c>
    </row>
    <row r="82" spans="2:11" x14ac:dyDescent="0.25">
      <c r="B82" s="37" t="s">
        <v>13</v>
      </c>
      <c r="C82" s="216" t="s">
        <v>78</v>
      </c>
      <c r="D82" s="43" t="s">
        <v>79</v>
      </c>
      <c r="E82" s="40">
        <v>4000000</v>
      </c>
      <c r="F82" s="41">
        <v>1</v>
      </c>
      <c r="G82" s="41">
        <v>1</v>
      </c>
      <c r="H82" s="40">
        <f t="shared" si="21"/>
        <v>1</v>
      </c>
      <c r="I82" s="40">
        <f>H82*E82</f>
        <v>4000000</v>
      </c>
      <c r="J82" s="42">
        <v>0.5</v>
      </c>
      <c r="K82" s="40">
        <f t="shared" si="22"/>
        <v>2000000</v>
      </c>
    </row>
    <row r="83" spans="2:11" x14ac:dyDescent="0.25">
      <c r="B83" s="37" t="s">
        <v>13</v>
      </c>
      <c r="C83" s="216" t="s">
        <v>78</v>
      </c>
      <c r="D83" s="43" t="s">
        <v>80</v>
      </c>
      <c r="E83" s="40">
        <v>9000000</v>
      </c>
      <c r="F83" s="41">
        <v>1</v>
      </c>
      <c r="G83" s="41">
        <v>1</v>
      </c>
      <c r="H83" s="40">
        <f t="shared" si="21"/>
        <v>1</v>
      </c>
      <c r="I83" s="40">
        <f>H83*E83</f>
        <v>9000000</v>
      </c>
      <c r="J83" s="42">
        <v>0.49644444444444447</v>
      </c>
      <c r="K83" s="40">
        <f t="shared" si="22"/>
        <v>4532000</v>
      </c>
    </row>
    <row r="84" spans="2:11" ht="15.75" thickBot="1" x14ac:dyDescent="0.3">
      <c r="B84" s="37" t="s">
        <v>13</v>
      </c>
      <c r="C84" s="216" t="s">
        <v>78</v>
      </c>
      <c r="D84" s="43" t="s">
        <v>81</v>
      </c>
      <c r="E84" s="40">
        <v>15100000</v>
      </c>
      <c r="F84" s="41">
        <v>1</v>
      </c>
      <c r="G84" s="41">
        <v>1</v>
      </c>
      <c r="H84" s="40">
        <f t="shared" si="21"/>
        <v>1</v>
      </c>
      <c r="I84" s="40">
        <f>H84*E84</f>
        <v>15100000</v>
      </c>
      <c r="J84" s="42">
        <v>0.5</v>
      </c>
      <c r="K84" s="40">
        <f t="shared" si="22"/>
        <v>7550000</v>
      </c>
    </row>
    <row r="85" spans="2:11" ht="15.75" x14ac:dyDescent="0.25">
      <c r="B85" s="44"/>
      <c r="C85" s="44"/>
      <c r="D85" s="44"/>
      <c r="E85" s="44"/>
      <c r="F85" s="44"/>
      <c r="G85" s="44"/>
      <c r="H85" s="44"/>
      <c r="I85" s="45">
        <f>SUM(I81:I84)</f>
        <v>37280000</v>
      </c>
      <c r="J85" s="44"/>
      <c r="K85" s="217">
        <f>SUM(K81:K84)</f>
        <v>15000000</v>
      </c>
    </row>
    <row r="86" spans="2:11" ht="16.5" thickBot="1" x14ac:dyDescent="0.3">
      <c r="B86" s="44"/>
      <c r="C86" s="44"/>
      <c r="D86" s="44"/>
      <c r="E86" s="44"/>
      <c r="F86" s="44"/>
      <c r="G86" s="44"/>
      <c r="H86" s="44"/>
      <c r="I86" s="191"/>
      <c r="J86" s="44"/>
      <c r="K86" s="44"/>
    </row>
    <row r="87" spans="2:11" ht="18.75" thickBot="1" x14ac:dyDescent="0.3">
      <c r="B87" s="414" t="s">
        <v>588</v>
      </c>
      <c r="C87" s="415"/>
      <c r="D87" s="415"/>
      <c r="E87" s="415"/>
      <c r="F87" s="415"/>
      <c r="G87" s="415"/>
      <c r="H87" s="415"/>
      <c r="I87" s="415"/>
      <c r="J87" s="415"/>
      <c r="K87" s="416"/>
    </row>
    <row r="88" spans="2:11" ht="15.75" thickBot="1" x14ac:dyDescent="0.3">
      <c r="B88" s="212" t="s">
        <v>63</v>
      </c>
      <c r="C88" s="213" t="s">
        <v>65</v>
      </c>
      <c r="D88" s="213" t="s">
        <v>66</v>
      </c>
      <c r="E88" s="213" t="s">
        <v>67</v>
      </c>
      <c r="F88" s="213" t="s">
        <v>68</v>
      </c>
      <c r="G88" s="213" t="s">
        <v>69</v>
      </c>
      <c r="H88" s="213" t="s">
        <v>70</v>
      </c>
      <c r="I88" s="214" t="s">
        <v>71</v>
      </c>
      <c r="J88" s="213" t="s">
        <v>72</v>
      </c>
      <c r="K88" s="215" t="s">
        <v>73</v>
      </c>
    </row>
    <row r="89" spans="2:11" x14ac:dyDescent="0.25">
      <c r="B89" s="37" t="s">
        <v>13</v>
      </c>
      <c r="C89" s="216" t="s">
        <v>162</v>
      </c>
      <c r="D89" s="43" t="s">
        <v>251</v>
      </c>
      <c r="E89" s="40">
        <f>1224000/2</f>
        <v>612000</v>
      </c>
      <c r="F89" s="41">
        <v>15</v>
      </c>
      <c r="G89" s="41">
        <v>1</v>
      </c>
      <c r="H89" s="40">
        <f t="shared" ref="H89:H93" si="23">F89*G89</f>
        <v>15</v>
      </c>
      <c r="I89" s="40">
        <f>H89*E89</f>
        <v>9180000</v>
      </c>
      <c r="J89" s="42">
        <v>0.9</v>
      </c>
      <c r="K89" s="40">
        <f t="shared" ref="K89:K93" si="24">I89-(I89*J89)</f>
        <v>918000</v>
      </c>
    </row>
    <row r="90" spans="2:11" x14ac:dyDescent="0.25">
      <c r="B90" s="37" t="s">
        <v>13</v>
      </c>
      <c r="C90" s="216" t="s">
        <v>78</v>
      </c>
      <c r="D90" s="43" t="s">
        <v>584</v>
      </c>
      <c r="E90" s="40">
        <v>5016000</v>
      </c>
      <c r="F90" s="41">
        <v>1</v>
      </c>
      <c r="G90" s="41">
        <v>1</v>
      </c>
      <c r="H90" s="40">
        <v>1</v>
      </c>
      <c r="I90" s="40">
        <f>H90*E90</f>
        <v>5016000</v>
      </c>
      <c r="J90" s="42">
        <v>3.1897926634767981E-3</v>
      </c>
      <c r="K90" s="40">
        <f t="shared" si="24"/>
        <v>5000000</v>
      </c>
    </row>
    <row r="91" spans="2:11" x14ac:dyDescent="0.25">
      <c r="B91" s="37" t="s">
        <v>13</v>
      </c>
      <c r="C91" s="216" t="s">
        <v>78</v>
      </c>
      <c r="D91" s="43" t="s">
        <v>79</v>
      </c>
      <c r="E91" s="40">
        <v>4000000</v>
      </c>
      <c r="F91" s="41">
        <v>1</v>
      </c>
      <c r="G91" s="41">
        <v>1</v>
      </c>
      <c r="H91" s="40">
        <f t="shared" si="23"/>
        <v>1</v>
      </c>
      <c r="I91" s="40">
        <f>H91*E91</f>
        <v>4000000</v>
      </c>
      <c r="J91" s="42">
        <v>0.5</v>
      </c>
      <c r="K91" s="40">
        <f t="shared" si="24"/>
        <v>2000000</v>
      </c>
    </row>
    <row r="92" spans="2:11" x14ac:dyDescent="0.25">
      <c r="B92" s="37" t="s">
        <v>13</v>
      </c>
      <c r="C92" s="216" t="s">
        <v>78</v>
      </c>
      <c r="D92" s="43" t="s">
        <v>80</v>
      </c>
      <c r="E92" s="40">
        <v>9000000</v>
      </c>
      <c r="F92" s="41">
        <v>1</v>
      </c>
      <c r="G92" s="41">
        <v>1</v>
      </c>
      <c r="H92" s="40">
        <f t="shared" si="23"/>
        <v>1</v>
      </c>
      <c r="I92" s="40">
        <f>H92*E92</f>
        <v>9000000</v>
      </c>
      <c r="J92" s="42">
        <v>0.49644444444444447</v>
      </c>
      <c r="K92" s="40">
        <f t="shared" si="24"/>
        <v>4532000</v>
      </c>
    </row>
    <row r="93" spans="2:11" ht="15.75" thickBot="1" x14ac:dyDescent="0.3">
      <c r="B93" s="37" t="s">
        <v>13</v>
      </c>
      <c r="C93" s="216" t="s">
        <v>78</v>
      </c>
      <c r="D93" s="43" t="s">
        <v>81</v>
      </c>
      <c r="E93" s="40">
        <v>15100000</v>
      </c>
      <c r="F93" s="41">
        <v>1</v>
      </c>
      <c r="G93" s="41">
        <v>1</v>
      </c>
      <c r="H93" s="40">
        <f t="shared" si="23"/>
        <v>1</v>
      </c>
      <c r="I93" s="40">
        <f>H93*E93</f>
        <v>15100000</v>
      </c>
      <c r="J93" s="42">
        <v>0.5</v>
      </c>
      <c r="K93" s="40">
        <f t="shared" si="24"/>
        <v>7550000</v>
      </c>
    </row>
    <row r="94" spans="2:11" ht="15.75" x14ac:dyDescent="0.25">
      <c r="B94" s="44"/>
      <c r="C94" s="44"/>
      <c r="D94" s="44"/>
      <c r="E94" s="44"/>
      <c r="F94" s="44"/>
      <c r="G94" s="44"/>
      <c r="H94" s="44"/>
      <c r="I94" s="45">
        <f>SUM(I89:I93)</f>
        <v>42296000</v>
      </c>
      <c r="J94" s="44"/>
      <c r="K94" s="217">
        <f>SUM(K89:K93)</f>
        <v>20000000</v>
      </c>
    </row>
    <row r="95" spans="2:11" ht="15.75" x14ac:dyDescent="0.25">
      <c r="B95" s="44"/>
      <c r="C95" s="44"/>
      <c r="D95" s="44"/>
      <c r="E95" s="44"/>
      <c r="F95" s="44"/>
      <c r="G95" s="44"/>
      <c r="H95" s="44"/>
      <c r="I95" s="191"/>
      <c r="J95" s="44"/>
      <c r="K95" s="44"/>
    </row>
    <row r="96" spans="2:11" ht="16.5" thickBot="1" x14ac:dyDescent="0.3">
      <c r="B96" s="44"/>
      <c r="C96" s="44"/>
      <c r="D96" s="44"/>
      <c r="E96" s="44"/>
      <c r="F96" s="44"/>
      <c r="G96" s="44"/>
      <c r="H96" s="44"/>
      <c r="I96" s="191"/>
      <c r="J96" s="44"/>
      <c r="K96" s="44"/>
    </row>
    <row r="97" spans="2:12" ht="18.75" thickBot="1" x14ac:dyDescent="0.3">
      <c r="B97" s="423" t="s">
        <v>435</v>
      </c>
      <c r="C97" s="424"/>
      <c r="D97" s="424"/>
      <c r="E97" s="424"/>
      <c r="F97" s="424"/>
      <c r="G97" s="424"/>
      <c r="H97" s="424"/>
      <c r="I97" s="424"/>
      <c r="J97" s="424"/>
      <c r="K97" s="424"/>
      <c r="L97" s="424"/>
    </row>
    <row r="98" spans="2:12" ht="15.75" thickBot="1" x14ac:dyDescent="0.3">
      <c r="B98" s="298" t="s">
        <v>63</v>
      </c>
      <c r="C98" s="299" t="s">
        <v>64</v>
      </c>
      <c r="D98" s="299" t="s">
        <v>65</v>
      </c>
      <c r="E98" s="300" t="s">
        <v>66</v>
      </c>
      <c r="F98" s="300" t="s">
        <v>67</v>
      </c>
      <c r="G98" s="300" t="s">
        <v>94</v>
      </c>
      <c r="H98" s="300" t="s">
        <v>69</v>
      </c>
      <c r="I98" s="300" t="s">
        <v>70</v>
      </c>
      <c r="J98" s="299" t="s">
        <v>71</v>
      </c>
      <c r="K98" s="299" t="s">
        <v>72</v>
      </c>
      <c r="L98" s="301" t="s">
        <v>73</v>
      </c>
    </row>
    <row r="99" spans="2:12" ht="24" x14ac:dyDescent="0.25">
      <c r="B99" s="283" t="s">
        <v>12</v>
      </c>
      <c r="C99" s="284" t="s">
        <v>92</v>
      </c>
      <c r="D99" s="302" t="s">
        <v>392</v>
      </c>
      <c r="E99" s="285" t="s">
        <v>436</v>
      </c>
      <c r="F99" s="286">
        <v>2540000</v>
      </c>
      <c r="G99" s="287">
        <v>1</v>
      </c>
      <c r="H99" s="288">
        <v>5</v>
      </c>
      <c r="I99" s="288">
        <v>5</v>
      </c>
      <c r="J99" s="289">
        <v>12700000</v>
      </c>
      <c r="K99" s="290">
        <v>0.85</v>
      </c>
      <c r="L99" s="289">
        <v>1905000</v>
      </c>
    </row>
    <row r="100" spans="2:12" x14ac:dyDescent="0.25">
      <c r="B100" s="283" t="s">
        <v>12</v>
      </c>
      <c r="C100" s="284" t="s">
        <v>92</v>
      </c>
      <c r="D100" s="303" t="s">
        <v>392</v>
      </c>
      <c r="E100" s="291" t="s">
        <v>437</v>
      </c>
      <c r="F100" s="292">
        <v>1110000</v>
      </c>
      <c r="G100" s="293">
        <v>4</v>
      </c>
      <c r="H100" s="294">
        <v>9</v>
      </c>
      <c r="I100" s="288">
        <v>36</v>
      </c>
      <c r="J100" s="289">
        <v>39960000</v>
      </c>
      <c r="K100" s="290">
        <v>0.85</v>
      </c>
      <c r="L100" s="289">
        <v>5994000</v>
      </c>
    </row>
    <row r="101" spans="2:12" x14ac:dyDescent="0.25">
      <c r="B101" s="283" t="s">
        <v>12</v>
      </c>
      <c r="C101" s="284" t="s">
        <v>92</v>
      </c>
      <c r="D101" s="303" t="s">
        <v>109</v>
      </c>
      <c r="E101" s="291" t="s">
        <v>438</v>
      </c>
      <c r="F101" s="292">
        <v>555000</v>
      </c>
      <c r="G101" s="293">
        <v>6</v>
      </c>
      <c r="H101" s="294">
        <v>9</v>
      </c>
      <c r="I101" s="288">
        <v>54</v>
      </c>
      <c r="J101" s="289">
        <v>29970000</v>
      </c>
      <c r="K101" s="290">
        <v>0.85</v>
      </c>
      <c r="L101" s="289">
        <v>4495500</v>
      </c>
    </row>
    <row r="102" spans="2:12" x14ac:dyDescent="0.25">
      <c r="B102" s="283" t="s">
        <v>12</v>
      </c>
      <c r="C102" s="284" t="s">
        <v>92</v>
      </c>
      <c r="D102" s="303" t="s">
        <v>439</v>
      </c>
      <c r="E102" s="291" t="s">
        <v>440</v>
      </c>
      <c r="F102" s="53">
        <v>5016000</v>
      </c>
      <c r="G102" s="293">
        <v>1</v>
      </c>
      <c r="H102" s="294">
        <v>1</v>
      </c>
      <c r="I102" s="288">
        <v>1</v>
      </c>
      <c r="J102" s="289">
        <v>5016000</v>
      </c>
      <c r="K102" s="290">
        <v>0.2</v>
      </c>
      <c r="L102" s="289">
        <v>4012800</v>
      </c>
    </row>
    <row r="103" spans="2:12" x14ac:dyDescent="0.25">
      <c r="B103" s="283" t="s">
        <v>12</v>
      </c>
      <c r="C103" s="284" t="s">
        <v>92</v>
      </c>
      <c r="D103" s="303" t="s">
        <v>439</v>
      </c>
      <c r="E103" s="291" t="s">
        <v>441</v>
      </c>
      <c r="F103" s="292">
        <v>1440000</v>
      </c>
      <c r="G103" s="293">
        <v>1</v>
      </c>
      <c r="H103" s="294">
        <v>1</v>
      </c>
      <c r="I103" s="288">
        <v>1</v>
      </c>
      <c r="J103" s="289">
        <v>1440000</v>
      </c>
      <c r="K103" s="290">
        <v>0</v>
      </c>
      <c r="L103" s="289">
        <v>1440000</v>
      </c>
    </row>
    <row r="104" spans="2:12" x14ac:dyDescent="0.25">
      <c r="B104" s="283" t="s">
        <v>12</v>
      </c>
      <c r="C104" s="284" t="s">
        <v>92</v>
      </c>
      <c r="D104" s="304" t="s">
        <v>439</v>
      </c>
      <c r="E104" s="295" t="s">
        <v>442</v>
      </c>
      <c r="F104" s="296">
        <v>1440000</v>
      </c>
      <c r="G104" s="297">
        <v>3</v>
      </c>
      <c r="H104" s="288">
        <v>1</v>
      </c>
      <c r="I104" s="288">
        <v>3</v>
      </c>
      <c r="J104" s="289">
        <v>4320000</v>
      </c>
      <c r="K104" s="290">
        <v>0</v>
      </c>
      <c r="L104" s="289">
        <v>4320000</v>
      </c>
    </row>
    <row r="105" spans="2:12" ht="15.75" x14ac:dyDescent="0.25">
      <c r="B105" s="80"/>
      <c r="C105" s="80"/>
      <c r="D105" s="80"/>
      <c r="E105" s="80"/>
      <c r="F105" s="80"/>
      <c r="G105" s="80"/>
      <c r="H105" s="80"/>
      <c r="I105" s="80"/>
      <c r="J105" s="332">
        <f>SUM(J99:J104)</f>
        <v>93406000</v>
      </c>
      <c r="K105" s="80"/>
      <c r="L105" s="305">
        <v>22167300</v>
      </c>
    </row>
    <row r="106" spans="2:12" ht="15.75" x14ac:dyDescent="0.25">
      <c r="B106" s="44"/>
      <c r="C106" s="44"/>
      <c r="D106" s="44"/>
      <c r="E106" s="44"/>
      <c r="F106" s="44"/>
      <c r="G106" s="44"/>
      <c r="H106" s="44"/>
      <c r="I106" s="191"/>
      <c r="J106" s="44"/>
      <c r="K106" s="44"/>
    </row>
    <row r="107" spans="2:12" ht="15.75" x14ac:dyDescent="0.25">
      <c r="B107" s="44"/>
      <c r="C107" s="44"/>
      <c r="D107" s="44"/>
      <c r="E107" s="44"/>
      <c r="F107" s="44"/>
      <c r="G107" s="44"/>
      <c r="H107" s="44"/>
      <c r="I107" s="191"/>
      <c r="J107" s="44"/>
      <c r="K107" s="44"/>
    </row>
    <row r="108" spans="2:12" ht="15.75" x14ac:dyDescent="0.25">
      <c r="B108" s="44"/>
      <c r="C108" s="44"/>
      <c r="D108" s="44"/>
      <c r="E108" s="44"/>
      <c r="F108" s="44"/>
      <c r="G108" s="44"/>
      <c r="H108" s="44"/>
      <c r="I108" s="191"/>
      <c r="J108" s="44"/>
      <c r="K108" s="44"/>
    </row>
    <row r="109" spans="2:12" ht="15.75" x14ac:dyDescent="0.25">
      <c r="B109" s="44"/>
      <c r="C109" s="44"/>
      <c r="D109" s="44"/>
      <c r="E109" s="44"/>
      <c r="F109" s="44"/>
      <c r="G109" s="44"/>
      <c r="H109" s="44"/>
      <c r="I109" s="191"/>
      <c r="J109" s="44"/>
      <c r="K109" s="44"/>
    </row>
    <row r="112" spans="2:12" ht="15.75" thickBot="1" x14ac:dyDescent="0.3"/>
    <row r="113" spans="2:11" ht="18.75" thickBot="1" x14ac:dyDescent="0.3">
      <c r="B113" s="417" t="s">
        <v>252</v>
      </c>
      <c r="C113" s="418"/>
      <c r="D113" s="418"/>
      <c r="E113" s="418"/>
      <c r="F113" s="418"/>
      <c r="G113" s="418"/>
      <c r="H113" s="418"/>
      <c r="I113" s="418"/>
      <c r="J113" s="418"/>
      <c r="K113" s="419"/>
    </row>
    <row r="114" spans="2:11" ht="15.75" thickBot="1" x14ac:dyDescent="0.3">
      <c r="B114" s="202" t="s">
        <v>63</v>
      </c>
      <c r="C114" s="203" t="s">
        <v>65</v>
      </c>
      <c r="D114" s="203" t="s">
        <v>66</v>
      </c>
      <c r="E114" s="203" t="s">
        <v>67</v>
      </c>
      <c r="F114" s="203" t="s">
        <v>68</v>
      </c>
      <c r="G114" s="203" t="s">
        <v>69</v>
      </c>
      <c r="H114" s="203" t="s">
        <v>70</v>
      </c>
      <c r="I114" s="204" t="s">
        <v>71</v>
      </c>
      <c r="J114" s="203" t="s">
        <v>72</v>
      </c>
      <c r="K114" s="205" t="s">
        <v>73</v>
      </c>
    </row>
    <row r="115" spans="2:11" x14ac:dyDescent="0.25">
      <c r="B115" s="37" t="s">
        <v>11</v>
      </c>
      <c r="C115" s="206" t="s">
        <v>162</v>
      </c>
      <c r="D115" s="43" t="s">
        <v>251</v>
      </c>
      <c r="E115" s="40">
        <f>2181750/2</f>
        <v>1090875</v>
      </c>
      <c r="F115" s="41">
        <v>15</v>
      </c>
      <c r="G115" s="41">
        <v>1</v>
      </c>
      <c r="H115" s="40">
        <f t="shared" ref="H115:H118" si="25">F115*G115</f>
        <v>15</v>
      </c>
      <c r="I115" s="40">
        <f>H115*E115</f>
        <v>16363125</v>
      </c>
      <c r="J115" s="42">
        <v>0.9</v>
      </c>
      <c r="K115" s="40">
        <f t="shared" ref="K115:K118" si="26">I115-(I115*J115)</f>
        <v>1636312.5</v>
      </c>
    </row>
    <row r="116" spans="2:11" x14ac:dyDescent="0.25">
      <c r="B116" s="37" t="s">
        <v>11</v>
      </c>
      <c r="C116" s="206" t="s">
        <v>78</v>
      </c>
      <c r="D116" s="43" t="s">
        <v>79</v>
      </c>
      <c r="E116" s="200">
        <v>5000000</v>
      </c>
      <c r="F116" s="41">
        <v>1</v>
      </c>
      <c r="G116" s="41">
        <v>1</v>
      </c>
      <c r="H116" s="40">
        <f t="shared" si="25"/>
        <v>1</v>
      </c>
      <c r="I116" s="40">
        <f>H116*E116</f>
        <v>5000000</v>
      </c>
      <c r="J116" s="42">
        <v>4.7262499999999999E-2</v>
      </c>
      <c r="K116" s="40">
        <f t="shared" si="26"/>
        <v>4763687.5</v>
      </c>
    </row>
    <row r="117" spans="2:11" x14ac:dyDescent="0.25">
      <c r="B117" s="37" t="s">
        <v>11</v>
      </c>
      <c r="C117" s="206" t="s">
        <v>78</v>
      </c>
      <c r="D117" s="43" t="s">
        <v>80</v>
      </c>
      <c r="E117" s="40">
        <v>1700000</v>
      </c>
      <c r="F117" s="41">
        <v>1</v>
      </c>
      <c r="G117" s="41">
        <v>1</v>
      </c>
      <c r="H117" s="40">
        <f t="shared" si="25"/>
        <v>1</v>
      </c>
      <c r="I117" s="40">
        <f>H117*E117</f>
        <v>1700000</v>
      </c>
      <c r="J117" s="42">
        <v>0.5</v>
      </c>
      <c r="K117" s="40">
        <f t="shared" si="26"/>
        <v>850000</v>
      </c>
    </row>
    <row r="118" spans="2:11" ht="15.75" thickBot="1" x14ac:dyDescent="0.3">
      <c r="B118" s="37" t="s">
        <v>11</v>
      </c>
      <c r="C118" s="206" t="s">
        <v>78</v>
      </c>
      <c r="D118" s="43" t="s">
        <v>81</v>
      </c>
      <c r="E118" s="40">
        <v>2500000</v>
      </c>
      <c r="F118" s="41">
        <v>1</v>
      </c>
      <c r="G118" s="41">
        <v>1</v>
      </c>
      <c r="H118" s="40">
        <f t="shared" si="25"/>
        <v>1</v>
      </c>
      <c r="I118" s="40">
        <f>H118*E118</f>
        <v>2500000</v>
      </c>
      <c r="J118" s="42">
        <v>0.5</v>
      </c>
      <c r="K118" s="40">
        <f t="shared" si="26"/>
        <v>1250000</v>
      </c>
    </row>
    <row r="119" spans="2:11" ht="15.75" x14ac:dyDescent="0.25">
      <c r="B119" s="44"/>
      <c r="C119" s="44"/>
      <c r="D119" s="44"/>
      <c r="E119" s="44"/>
      <c r="F119" s="44"/>
      <c r="G119" s="44"/>
      <c r="H119" s="44"/>
      <c r="I119" s="45">
        <f>SUM(I115:I118)</f>
        <v>25563125</v>
      </c>
      <c r="J119" s="44"/>
      <c r="K119" s="46">
        <f>SUM(K115:K118)</f>
        <v>8500000</v>
      </c>
    </row>
    <row r="121" spans="2:11" ht="15.75" thickBot="1" x14ac:dyDescent="0.3"/>
    <row r="122" spans="2:11" ht="18.75" thickBot="1" x14ac:dyDescent="0.3">
      <c r="B122" s="417" t="s">
        <v>253</v>
      </c>
      <c r="C122" s="418"/>
      <c r="D122" s="418"/>
      <c r="E122" s="418"/>
      <c r="F122" s="418"/>
      <c r="G122" s="418"/>
      <c r="H122" s="418"/>
      <c r="I122" s="418"/>
      <c r="J122" s="418"/>
      <c r="K122" s="419"/>
    </row>
    <row r="123" spans="2:11" ht="15.75" thickBot="1" x14ac:dyDescent="0.3">
      <c r="B123" s="202" t="s">
        <v>63</v>
      </c>
      <c r="C123" s="203" t="s">
        <v>65</v>
      </c>
      <c r="D123" s="203" t="s">
        <v>66</v>
      </c>
      <c r="E123" s="203" t="s">
        <v>67</v>
      </c>
      <c r="F123" s="203" t="s">
        <v>68</v>
      </c>
      <c r="G123" s="203" t="s">
        <v>69</v>
      </c>
      <c r="H123" s="203" t="s">
        <v>70</v>
      </c>
      <c r="I123" s="204" t="s">
        <v>71</v>
      </c>
      <c r="J123" s="203" t="s">
        <v>72</v>
      </c>
      <c r="K123" s="205" t="s">
        <v>73</v>
      </c>
    </row>
    <row r="124" spans="2:11" x14ac:dyDescent="0.25">
      <c r="B124" s="37" t="s">
        <v>11</v>
      </c>
      <c r="C124" s="206" t="s">
        <v>162</v>
      </c>
      <c r="D124" s="43" t="s">
        <v>251</v>
      </c>
      <c r="E124" s="40">
        <f>2181750/2</f>
        <v>1090875</v>
      </c>
      <c r="F124" s="41">
        <v>15</v>
      </c>
      <c r="G124" s="41">
        <v>1</v>
      </c>
      <c r="H124" s="40">
        <f t="shared" ref="H124:H127" si="27">F124*G124</f>
        <v>15</v>
      </c>
      <c r="I124" s="40">
        <f>H124*E124</f>
        <v>16363125</v>
      </c>
      <c r="J124" s="42">
        <v>0.9</v>
      </c>
      <c r="K124" s="40">
        <f t="shared" ref="K124:K127" si="28">I124-(I124*J124)</f>
        <v>1636312.5</v>
      </c>
    </row>
    <row r="125" spans="2:11" x14ac:dyDescent="0.25">
      <c r="B125" s="37" t="s">
        <v>11</v>
      </c>
      <c r="C125" s="206" t="s">
        <v>78</v>
      </c>
      <c r="D125" s="43" t="s">
        <v>79</v>
      </c>
      <c r="E125" s="200">
        <v>7500000</v>
      </c>
      <c r="F125" s="41">
        <v>1</v>
      </c>
      <c r="G125" s="41">
        <v>1</v>
      </c>
      <c r="H125" s="40">
        <f t="shared" si="27"/>
        <v>1</v>
      </c>
      <c r="I125" s="40">
        <f>H125*E125</f>
        <v>7500000</v>
      </c>
      <c r="J125" s="42">
        <v>3.1508333333333333E-2</v>
      </c>
      <c r="K125" s="40">
        <f t="shared" si="28"/>
        <v>7263687.5</v>
      </c>
    </row>
    <row r="126" spans="2:11" x14ac:dyDescent="0.25">
      <c r="B126" s="37" t="s">
        <v>11</v>
      </c>
      <c r="C126" s="206" t="s">
        <v>78</v>
      </c>
      <c r="D126" s="43" t="s">
        <v>80</v>
      </c>
      <c r="E126" s="40">
        <v>1700000</v>
      </c>
      <c r="F126" s="41">
        <v>1</v>
      </c>
      <c r="G126" s="41">
        <v>1</v>
      </c>
      <c r="H126" s="40">
        <f t="shared" si="27"/>
        <v>1</v>
      </c>
      <c r="I126" s="40">
        <f>H126*E126</f>
        <v>1700000</v>
      </c>
      <c r="J126" s="42">
        <v>0.5</v>
      </c>
      <c r="K126" s="40">
        <f t="shared" si="28"/>
        <v>850000</v>
      </c>
    </row>
    <row r="127" spans="2:11" ht="15.75" thickBot="1" x14ac:dyDescent="0.3">
      <c r="B127" s="37" t="s">
        <v>11</v>
      </c>
      <c r="C127" s="206" t="s">
        <v>78</v>
      </c>
      <c r="D127" s="43" t="s">
        <v>81</v>
      </c>
      <c r="E127" s="40">
        <v>2500000</v>
      </c>
      <c r="F127" s="41">
        <v>1</v>
      </c>
      <c r="G127" s="41">
        <v>1</v>
      </c>
      <c r="H127" s="40">
        <f t="shared" si="27"/>
        <v>1</v>
      </c>
      <c r="I127" s="40">
        <f>H127*E127</f>
        <v>2500000</v>
      </c>
      <c r="J127" s="42">
        <v>0.5</v>
      </c>
      <c r="K127" s="40">
        <f t="shared" si="28"/>
        <v>1250000</v>
      </c>
    </row>
    <row r="128" spans="2:11" ht="15.75" x14ac:dyDescent="0.25">
      <c r="B128" s="44"/>
      <c r="C128" s="44"/>
      <c r="D128" s="44"/>
      <c r="E128" s="44"/>
      <c r="F128" s="44"/>
      <c r="G128" s="44"/>
      <c r="H128" s="44"/>
      <c r="I128" s="45">
        <f>SUM(I124:I127)</f>
        <v>28063125</v>
      </c>
      <c r="J128" s="44"/>
      <c r="K128" s="46">
        <f>SUM(K124:K127)</f>
        <v>11000000</v>
      </c>
    </row>
    <row r="129" spans="2:11" ht="15.75" thickBot="1" x14ac:dyDescent="0.3"/>
    <row r="130" spans="2:11" ht="15.75" thickBot="1" x14ac:dyDescent="0.3">
      <c r="B130" s="420" t="s">
        <v>377</v>
      </c>
      <c r="C130" s="421"/>
      <c r="D130" s="421"/>
      <c r="E130" s="421"/>
      <c r="F130" s="421"/>
      <c r="G130" s="421"/>
      <c r="H130" s="421"/>
      <c r="I130" s="421"/>
      <c r="J130" s="421"/>
      <c r="K130" s="422"/>
    </row>
    <row r="131" spans="2:11" ht="15.75" thickBot="1" x14ac:dyDescent="0.3">
      <c r="B131" s="202" t="s">
        <v>63</v>
      </c>
      <c r="C131" s="203" t="s">
        <v>65</v>
      </c>
      <c r="D131" s="203" t="s">
        <v>66</v>
      </c>
      <c r="E131" s="203" t="s">
        <v>67</v>
      </c>
      <c r="F131" s="203" t="s">
        <v>68</v>
      </c>
      <c r="G131" s="203" t="s">
        <v>69</v>
      </c>
      <c r="H131" s="203" t="s">
        <v>70</v>
      </c>
      <c r="I131" s="204" t="s">
        <v>71</v>
      </c>
      <c r="J131" s="203" t="s">
        <v>72</v>
      </c>
      <c r="K131" s="205" t="s">
        <v>73</v>
      </c>
    </row>
    <row r="132" spans="2:11" x14ac:dyDescent="0.25">
      <c r="B132" s="37" t="s">
        <v>11</v>
      </c>
      <c r="C132" s="206" t="s">
        <v>162</v>
      </c>
      <c r="D132" s="43" t="s">
        <v>251</v>
      </c>
      <c r="E132" s="40">
        <f>2181750/2</f>
        <v>1090875</v>
      </c>
      <c r="F132" s="41">
        <v>40</v>
      </c>
      <c r="G132" s="41">
        <v>1</v>
      </c>
      <c r="H132" s="40">
        <f t="shared" ref="H132:H135" si="29">F132*G132</f>
        <v>40</v>
      </c>
      <c r="I132" s="40">
        <f>H132*E132</f>
        <v>43635000</v>
      </c>
      <c r="J132" s="42">
        <v>0.9</v>
      </c>
      <c r="K132" s="40">
        <f t="shared" ref="K132:K135" si="30">I132-(I132*J132)</f>
        <v>4363500</v>
      </c>
    </row>
    <row r="133" spans="2:11" x14ac:dyDescent="0.25">
      <c r="B133" s="37" t="s">
        <v>11</v>
      </c>
      <c r="C133" s="206" t="s">
        <v>78</v>
      </c>
      <c r="D133" s="43" t="s">
        <v>79</v>
      </c>
      <c r="E133" s="200">
        <v>6000000</v>
      </c>
      <c r="F133" s="41">
        <v>1</v>
      </c>
      <c r="G133" s="41">
        <v>1</v>
      </c>
      <c r="H133" s="40">
        <f t="shared" si="29"/>
        <v>1</v>
      </c>
      <c r="I133" s="40">
        <f>H133*E133</f>
        <v>6000000</v>
      </c>
      <c r="J133" s="42">
        <v>0.15</v>
      </c>
      <c r="K133" s="40">
        <f t="shared" si="30"/>
        <v>5100000</v>
      </c>
    </row>
    <row r="134" spans="2:11" x14ac:dyDescent="0.25">
      <c r="B134" s="37" t="s">
        <v>11</v>
      </c>
      <c r="C134" s="206" t="s">
        <v>78</v>
      </c>
      <c r="D134" s="43" t="s">
        <v>80</v>
      </c>
      <c r="E134" s="40">
        <v>1700000</v>
      </c>
      <c r="F134" s="41">
        <v>1</v>
      </c>
      <c r="G134" s="41">
        <v>1</v>
      </c>
      <c r="H134" s="40">
        <f t="shared" si="29"/>
        <v>1</v>
      </c>
      <c r="I134" s="40">
        <f>H134*E134</f>
        <v>1700000</v>
      </c>
      <c r="J134" s="42">
        <v>0.5</v>
      </c>
      <c r="K134" s="40">
        <f t="shared" si="30"/>
        <v>850000</v>
      </c>
    </row>
    <row r="135" spans="2:11" ht="15.75" thickBot="1" x14ac:dyDescent="0.3">
      <c r="B135" s="37" t="s">
        <v>11</v>
      </c>
      <c r="C135" s="206" t="s">
        <v>78</v>
      </c>
      <c r="D135" s="43" t="s">
        <v>81</v>
      </c>
      <c r="E135" s="40">
        <v>2500000</v>
      </c>
      <c r="F135" s="41">
        <v>1</v>
      </c>
      <c r="G135" s="41">
        <v>1</v>
      </c>
      <c r="H135" s="40">
        <f t="shared" si="29"/>
        <v>1</v>
      </c>
      <c r="I135" s="40">
        <f>H135*E135</f>
        <v>2500000</v>
      </c>
      <c r="J135" s="42">
        <v>0.5</v>
      </c>
      <c r="K135" s="40">
        <f t="shared" si="30"/>
        <v>1250000</v>
      </c>
    </row>
    <row r="136" spans="2:11" ht="15.75" x14ac:dyDescent="0.25">
      <c r="B136" s="44"/>
      <c r="C136" s="44"/>
      <c r="D136" s="44"/>
      <c r="E136" s="44"/>
      <c r="F136" s="44"/>
      <c r="G136" s="44"/>
      <c r="H136" s="44"/>
      <c r="I136" s="45">
        <f>SUM(I132:I135)</f>
        <v>53835000</v>
      </c>
      <c r="J136" s="44"/>
      <c r="K136" s="46">
        <f>SUM(K132:K135)</f>
        <v>11563500</v>
      </c>
    </row>
    <row r="137" spans="2:11" ht="15.75" thickBot="1" x14ac:dyDescent="0.3"/>
    <row r="138" spans="2:11" ht="18.75" thickBot="1" x14ac:dyDescent="0.3">
      <c r="B138" s="408" t="s">
        <v>254</v>
      </c>
      <c r="C138" s="409"/>
      <c r="D138" s="409"/>
      <c r="E138" s="409"/>
      <c r="F138" s="409"/>
      <c r="G138" s="409"/>
      <c r="H138" s="409"/>
      <c r="I138" s="409"/>
      <c r="J138" s="409"/>
      <c r="K138" s="410"/>
    </row>
    <row r="139" spans="2:11" ht="15.75" thickBot="1" x14ac:dyDescent="0.3">
      <c r="B139" s="155" t="s">
        <v>63</v>
      </c>
      <c r="C139" s="156" t="s">
        <v>65</v>
      </c>
      <c r="D139" s="156" t="s">
        <v>66</v>
      </c>
      <c r="E139" s="156" t="s">
        <v>67</v>
      </c>
      <c r="F139" s="156" t="s">
        <v>68</v>
      </c>
      <c r="G139" s="156" t="s">
        <v>69</v>
      </c>
      <c r="H139" s="156" t="s">
        <v>70</v>
      </c>
      <c r="I139" s="157" t="s">
        <v>71</v>
      </c>
      <c r="J139" s="156" t="s">
        <v>72</v>
      </c>
      <c r="K139" s="158" t="s">
        <v>73</v>
      </c>
    </row>
    <row r="140" spans="2:11" x14ac:dyDescent="0.25">
      <c r="B140" s="37" t="s">
        <v>10</v>
      </c>
      <c r="C140" s="159" t="s">
        <v>162</v>
      </c>
      <c r="D140" s="43" t="s">
        <v>251</v>
      </c>
      <c r="E140" s="40">
        <f>3099750/2</f>
        <v>1549875</v>
      </c>
      <c r="F140" s="41">
        <v>15</v>
      </c>
      <c r="G140" s="41">
        <v>1</v>
      </c>
      <c r="H140" s="40">
        <f t="shared" ref="H140:H144" si="31">F140*G140</f>
        <v>15</v>
      </c>
      <c r="I140" s="40">
        <f>H140*E140</f>
        <v>23248125</v>
      </c>
      <c r="J140" s="42">
        <v>0.9</v>
      </c>
      <c r="K140" s="40">
        <f t="shared" ref="K140:K144" si="32">I140-(I140*J140)</f>
        <v>2324812.5</v>
      </c>
    </row>
    <row r="141" spans="2:11" x14ac:dyDescent="0.25">
      <c r="B141" s="37" t="s">
        <v>10</v>
      </c>
      <c r="C141" s="159" t="s">
        <v>78</v>
      </c>
      <c r="D141" s="43" t="s">
        <v>79</v>
      </c>
      <c r="E141" s="200">
        <v>6000000</v>
      </c>
      <c r="F141" s="41">
        <v>1</v>
      </c>
      <c r="G141" s="41">
        <v>1</v>
      </c>
      <c r="H141" s="40">
        <f t="shared" si="31"/>
        <v>1</v>
      </c>
      <c r="I141" s="40">
        <f>H141*E141</f>
        <v>6000000</v>
      </c>
      <c r="J141" s="42">
        <v>2.9135416666666664E-2</v>
      </c>
      <c r="K141" s="40">
        <f t="shared" si="32"/>
        <v>5825187.5</v>
      </c>
    </row>
    <row r="142" spans="2:11" x14ac:dyDescent="0.25">
      <c r="B142" s="37" t="s">
        <v>10</v>
      </c>
      <c r="C142" s="159" t="s">
        <v>78</v>
      </c>
      <c r="D142" s="43" t="s">
        <v>80</v>
      </c>
      <c r="E142" s="40">
        <v>2500000</v>
      </c>
      <c r="F142" s="41">
        <v>1</v>
      </c>
      <c r="G142" s="41">
        <v>1</v>
      </c>
      <c r="H142" s="40">
        <f t="shared" si="31"/>
        <v>1</v>
      </c>
      <c r="I142" s="40">
        <f>H142*E142</f>
        <v>2500000</v>
      </c>
      <c r="J142" s="42">
        <v>0.5</v>
      </c>
      <c r="K142" s="40">
        <f t="shared" si="32"/>
        <v>1250000</v>
      </c>
    </row>
    <row r="143" spans="2:11" x14ac:dyDescent="0.25">
      <c r="B143" s="37" t="s">
        <v>10</v>
      </c>
      <c r="C143" s="159" t="s">
        <v>78</v>
      </c>
      <c r="D143" s="43" t="s">
        <v>81</v>
      </c>
      <c r="E143" s="40">
        <v>7400000</v>
      </c>
      <c r="F143" s="41">
        <v>1</v>
      </c>
      <c r="G143" s="41">
        <v>1</v>
      </c>
      <c r="H143" s="40">
        <f t="shared" si="31"/>
        <v>1</v>
      </c>
      <c r="I143" s="40">
        <f>H143*E143</f>
        <v>7400000</v>
      </c>
      <c r="J143" s="42">
        <v>0.5</v>
      </c>
      <c r="K143" s="40">
        <f t="shared" si="32"/>
        <v>3700000</v>
      </c>
    </row>
    <row r="144" spans="2:11" ht="15.75" thickBot="1" x14ac:dyDescent="0.3">
      <c r="B144" s="37" t="s">
        <v>10</v>
      </c>
      <c r="C144" s="159" t="s">
        <v>78</v>
      </c>
      <c r="D144" s="43" t="s">
        <v>255</v>
      </c>
      <c r="E144" s="40">
        <v>800000</v>
      </c>
      <c r="F144" s="41">
        <v>1</v>
      </c>
      <c r="G144" s="41">
        <v>1</v>
      </c>
      <c r="H144" s="40">
        <f t="shared" si="31"/>
        <v>1</v>
      </c>
      <c r="I144" s="40">
        <f>H144*E144</f>
        <v>800000</v>
      </c>
      <c r="J144" s="42">
        <v>0.5</v>
      </c>
      <c r="K144" s="40">
        <f t="shared" si="32"/>
        <v>400000</v>
      </c>
    </row>
    <row r="145" spans="2:11" ht="15.75" x14ac:dyDescent="0.25">
      <c r="B145" s="44"/>
      <c r="C145" s="44"/>
      <c r="D145" s="44"/>
      <c r="E145" s="44"/>
      <c r="F145" s="44"/>
      <c r="G145" s="44"/>
      <c r="H145" s="44"/>
      <c r="I145" s="45">
        <f>SUM(I140:I144)</f>
        <v>39948125</v>
      </c>
      <c r="J145" s="44"/>
      <c r="K145" s="46">
        <f>SUM(K140:K144)</f>
        <v>13500000</v>
      </c>
    </row>
    <row r="147" spans="2:11" ht="15.75" thickBot="1" x14ac:dyDescent="0.3"/>
    <row r="148" spans="2:11" ht="18.75" thickBot="1" x14ac:dyDescent="0.3">
      <c r="B148" s="408" t="s">
        <v>256</v>
      </c>
      <c r="C148" s="409"/>
      <c r="D148" s="409"/>
      <c r="E148" s="409"/>
      <c r="F148" s="409"/>
      <c r="G148" s="409"/>
      <c r="H148" s="409"/>
      <c r="I148" s="409"/>
      <c r="J148" s="409"/>
      <c r="K148" s="410"/>
    </row>
    <row r="149" spans="2:11" ht="15.75" thickBot="1" x14ac:dyDescent="0.3">
      <c r="B149" s="155" t="s">
        <v>63</v>
      </c>
      <c r="C149" s="156" t="s">
        <v>65</v>
      </c>
      <c r="D149" s="156" t="s">
        <v>66</v>
      </c>
      <c r="E149" s="156" t="s">
        <v>67</v>
      </c>
      <c r="F149" s="156" t="s">
        <v>68</v>
      </c>
      <c r="G149" s="156" t="s">
        <v>69</v>
      </c>
      <c r="H149" s="156" t="s">
        <v>70</v>
      </c>
      <c r="I149" s="157" t="s">
        <v>71</v>
      </c>
      <c r="J149" s="156" t="s">
        <v>72</v>
      </c>
      <c r="K149" s="158" t="s">
        <v>73</v>
      </c>
    </row>
    <row r="150" spans="2:11" x14ac:dyDescent="0.25">
      <c r="B150" s="37" t="s">
        <v>10</v>
      </c>
      <c r="C150" s="159" t="s">
        <v>162</v>
      </c>
      <c r="D150" s="43" t="s">
        <v>251</v>
      </c>
      <c r="E150" s="40">
        <f>3099750/2</f>
        <v>1549875</v>
      </c>
      <c r="F150" s="41">
        <v>15</v>
      </c>
      <c r="G150" s="41">
        <v>1</v>
      </c>
      <c r="H150" s="40">
        <f t="shared" ref="H150:H154" si="33">F150*G150</f>
        <v>15</v>
      </c>
      <c r="I150" s="40">
        <f>H150*E150</f>
        <v>23248125</v>
      </c>
      <c r="J150" s="42">
        <v>0.9</v>
      </c>
      <c r="K150" s="40">
        <f t="shared" ref="K150:K154" si="34">I150-(I150*J150)</f>
        <v>2324812.5</v>
      </c>
    </row>
    <row r="151" spans="2:11" x14ac:dyDescent="0.25">
      <c r="B151" s="37" t="s">
        <v>10</v>
      </c>
      <c r="C151" s="159" t="s">
        <v>78</v>
      </c>
      <c r="D151" s="43" t="s">
        <v>79</v>
      </c>
      <c r="E151" s="200">
        <v>5000000</v>
      </c>
      <c r="F151" s="41">
        <v>1</v>
      </c>
      <c r="G151" s="41">
        <v>1</v>
      </c>
      <c r="H151" s="40">
        <f t="shared" si="33"/>
        <v>1</v>
      </c>
      <c r="I151" s="40">
        <f>H151*E151</f>
        <v>5000000</v>
      </c>
      <c r="J151" s="42">
        <v>3.4962500000000001E-2</v>
      </c>
      <c r="K151" s="40">
        <f t="shared" si="34"/>
        <v>4825187.5</v>
      </c>
    </row>
    <row r="152" spans="2:11" x14ac:dyDescent="0.25">
      <c r="B152" s="37" t="s">
        <v>10</v>
      </c>
      <c r="C152" s="159" t="s">
        <v>78</v>
      </c>
      <c r="D152" s="43" t="s">
        <v>80</v>
      </c>
      <c r="E152" s="40">
        <v>2500000</v>
      </c>
      <c r="F152" s="41">
        <v>1</v>
      </c>
      <c r="G152" s="41">
        <v>1</v>
      </c>
      <c r="H152" s="40">
        <f t="shared" si="33"/>
        <v>1</v>
      </c>
      <c r="I152" s="40">
        <f>H152*E152</f>
        <v>2500000</v>
      </c>
      <c r="J152" s="42">
        <v>0.5</v>
      </c>
      <c r="K152" s="40">
        <f t="shared" si="34"/>
        <v>1250000</v>
      </c>
    </row>
    <row r="153" spans="2:11" x14ac:dyDescent="0.25">
      <c r="B153" s="37" t="s">
        <v>10</v>
      </c>
      <c r="C153" s="159" t="s">
        <v>78</v>
      </c>
      <c r="D153" s="43" t="s">
        <v>81</v>
      </c>
      <c r="E153" s="40">
        <v>7400000</v>
      </c>
      <c r="F153" s="41">
        <v>1</v>
      </c>
      <c r="G153" s="41">
        <v>1</v>
      </c>
      <c r="H153" s="40">
        <f t="shared" si="33"/>
        <v>1</v>
      </c>
      <c r="I153" s="40">
        <f>H153*E153</f>
        <v>7400000</v>
      </c>
      <c r="J153" s="42">
        <v>0.5</v>
      </c>
      <c r="K153" s="40">
        <f t="shared" si="34"/>
        <v>3700000</v>
      </c>
    </row>
    <row r="154" spans="2:11" ht="15.75" thickBot="1" x14ac:dyDescent="0.3">
      <c r="B154" s="37" t="s">
        <v>10</v>
      </c>
      <c r="C154" s="159" t="s">
        <v>78</v>
      </c>
      <c r="D154" s="43" t="s">
        <v>255</v>
      </c>
      <c r="E154" s="40">
        <v>800000</v>
      </c>
      <c r="F154" s="41">
        <v>1</v>
      </c>
      <c r="G154" s="41">
        <v>1</v>
      </c>
      <c r="H154" s="40">
        <f t="shared" si="33"/>
        <v>1</v>
      </c>
      <c r="I154" s="40">
        <f>H154*E154</f>
        <v>800000</v>
      </c>
      <c r="J154" s="42">
        <v>0.5</v>
      </c>
      <c r="K154" s="40">
        <f t="shared" si="34"/>
        <v>400000</v>
      </c>
    </row>
    <row r="155" spans="2:11" ht="15.75" x14ac:dyDescent="0.25">
      <c r="B155" s="44"/>
      <c r="C155" s="44"/>
      <c r="D155" s="44"/>
      <c r="E155" s="44"/>
      <c r="F155" s="44"/>
      <c r="G155" s="44"/>
      <c r="H155" s="44"/>
      <c r="I155" s="45">
        <f>SUM(I150:I154)</f>
        <v>38948125</v>
      </c>
      <c r="J155" s="44"/>
      <c r="K155" s="46">
        <f>SUM(K150:K154)</f>
        <v>12500000</v>
      </c>
    </row>
    <row r="157" spans="2:11" ht="15.75" thickBot="1" x14ac:dyDescent="0.3"/>
    <row r="158" spans="2:11" ht="18.75" thickBot="1" x14ac:dyDescent="0.3">
      <c r="B158" s="408" t="s">
        <v>257</v>
      </c>
      <c r="C158" s="409"/>
      <c r="D158" s="409"/>
      <c r="E158" s="409"/>
      <c r="F158" s="409"/>
      <c r="G158" s="409"/>
      <c r="H158" s="409"/>
      <c r="I158" s="409"/>
      <c r="J158" s="409"/>
      <c r="K158" s="410"/>
    </row>
    <row r="159" spans="2:11" ht="15.75" thickBot="1" x14ac:dyDescent="0.3">
      <c r="B159" s="155" t="s">
        <v>63</v>
      </c>
      <c r="C159" s="156" t="s">
        <v>65</v>
      </c>
      <c r="D159" s="156" t="s">
        <v>66</v>
      </c>
      <c r="E159" s="156" t="s">
        <v>67</v>
      </c>
      <c r="F159" s="156" t="s">
        <v>68</v>
      </c>
      <c r="G159" s="156" t="s">
        <v>69</v>
      </c>
      <c r="H159" s="156" t="s">
        <v>70</v>
      </c>
      <c r="I159" s="157" t="s">
        <v>71</v>
      </c>
      <c r="J159" s="156" t="s">
        <v>72</v>
      </c>
      <c r="K159" s="158" t="s">
        <v>73</v>
      </c>
    </row>
    <row r="160" spans="2:11" x14ac:dyDescent="0.25">
      <c r="B160" s="37" t="s">
        <v>10</v>
      </c>
      <c r="C160" s="159" t="s">
        <v>162</v>
      </c>
      <c r="D160" s="43" t="s">
        <v>251</v>
      </c>
      <c r="E160" s="40">
        <f>3099750/2</f>
        <v>1549875</v>
      </c>
      <c r="F160" s="41">
        <v>15</v>
      </c>
      <c r="G160" s="41">
        <v>1</v>
      </c>
      <c r="H160" s="40">
        <f t="shared" ref="H160:H164" si="35">F160*G160</f>
        <v>15</v>
      </c>
      <c r="I160" s="40">
        <f>H160*E160</f>
        <v>23248125</v>
      </c>
      <c r="J160" s="42">
        <v>0.9</v>
      </c>
      <c r="K160" s="40">
        <f t="shared" ref="K160:K164" si="36">I160-(I160*J160)</f>
        <v>2324812.5</v>
      </c>
    </row>
    <row r="161" spans="2:11" x14ac:dyDescent="0.25">
      <c r="B161" s="37" t="s">
        <v>10</v>
      </c>
      <c r="C161" s="159" t="s">
        <v>78</v>
      </c>
      <c r="D161" s="43" t="s">
        <v>79</v>
      </c>
      <c r="E161" s="200">
        <v>2000000</v>
      </c>
      <c r="F161" s="41">
        <v>1</v>
      </c>
      <c r="G161" s="41">
        <v>1</v>
      </c>
      <c r="H161" s="40">
        <f t="shared" si="35"/>
        <v>1</v>
      </c>
      <c r="I161" s="40">
        <f>H161*E161</f>
        <v>2000000</v>
      </c>
      <c r="J161" s="42">
        <v>0</v>
      </c>
      <c r="K161" s="40">
        <f t="shared" si="36"/>
        <v>2000000</v>
      </c>
    </row>
    <row r="162" spans="2:11" x14ac:dyDescent="0.25">
      <c r="B162" s="37" t="s">
        <v>10</v>
      </c>
      <c r="C162" s="159" t="s">
        <v>78</v>
      </c>
      <c r="D162" s="43" t="s">
        <v>80</v>
      </c>
      <c r="E162" s="40">
        <v>2500000</v>
      </c>
      <c r="F162" s="41">
        <v>1</v>
      </c>
      <c r="G162" s="41">
        <v>1</v>
      </c>
      <c r="H162" s="40">
        <f t="shared" si="35"/>
        <v>1</v>
      </c>
      <c r="I162" s="40">
        <f>H162*E162</f>
        <v>2500000</v>
      </c>
      <c r="J162" s="42">
        <v>0.8</v>
      </c>
      <c r="K162" s="40">
        <f t="shared" si="36"/>
        <v>500000</v>
      </c>
    </row>
    <row r="163" spans="2:11" x14ac:dyDescent="0.25">
      <c r="B163" s="37" t="s">
        <v>10</v>
      </c>
      <c r="C163" s="159" t="s">
        <v>78</v>
      </c>
      <c r="D163" s="43" t="s">
        <v>81</v>
      </c>
      <c r="E163" s="40">
        <v>7400000</v>
      </c>
      <c r="F163" s="41">
        <v>1</v>
      </c>
      <c r="G163" s="41">
        <v>1</v>
      </c>
      <c r="H163" s="40">
        <f t="shared" si="35"/>
        <v>1</v>
      </c>
      <c r="I163" s="40">
        <f>H163*E163</f>
        <v>7400000</v>
      </c>
      <c r="J163" s="42">
        <v>0.79524493243243244</v>
      </c>
      <c r="K163" s="40">
        <f t="shared" si="36"/>
        <v>1515187.5</v>
      </c>
    </row>
    <row r="164" spans="2:11" ht="15.75" thickBot="1" x14ac:dyDescent="0.3">
      <c r="B164" s="37" t="s">
        <v>10</v>
      </c>
      <c r="C164" s="159" t="s">
        <v>78</v>
      </c>
      <c r="D164" s="43" t="s">
        <v>255</v>
      </c>
      <c r="E164" s="40">
        <v>800000</v>
      </c>
      <c r="F164" s="41">
        <v>1</v>
      </c>
      <c r="G164" s="41">
        <v>1</v>
      </c>
      <c r="H164" s="40">
        <f t="shared" si="35"/>
        <v>1</v>
      </c>
      <c r="I164" s="40">
        <f>H164*E164</f>
        <v>800000</v>
      </c>
      <c r="J164" s="42">
        <v>0.8</v>
      </c>
      <c r="K164" s="40">
        <f t="shared" si="36"/>
        <v>160000</v>
      </c>
    </row>
    <row r="165" spans="2:11" ht="15.75" x14ac:dyDescent="0.25">
      <c r="B165" s="44"/>
      <c r="C165" s="44"/>
      <c r="D165" s="44"/>
      <c r="E165" s="44"/>
      <c r="F165" s="44"/>
      <c r="G165" s="44"/>
      <c r="H165" s="44"/>
      <c r="I165" s="45">
        <f>SUM(I160:I164)</f>
        <v>35948125</v>
      </c>
      <c r="J165" s="44"/>
      <c r="K165" s="46">
        <f>SUM(K160:K164)</f>
        <v>6500000</v>
      </c>
    </row>
    <row r="167" spans="2:11" ht="15.75" thickBot="1" x14ac:dyDescent="0.3"/>
    <row r="168" spans="2:11" ht="18.75" thickBot="1" x14ac:dyDescent="0.3">
      <c r="B168" s="408" t="s">
        <v>258</v>
      </c>
      <c r="C168" s="409"/>
      <c r="D168" s="409"/>
      <c r="E168" s="409"/>
      <c r="F168" s="409"/>
      <c r="G168" s="409"/>
      <c r="H168" s="409"/>
      <c r="I168" s="409"/>
      <c r="J168" s="409"/>
      <c r="K168" s="410"/>
    </row>
    <row r="169" spans="2:11" ht="15.75" thickBot="1" x14ac:dyDescent="0.3">
      <c r="B169" s="155" t="s">
        <v>63</v>
      </c>
      <c r="C169" s="156" t="s">
        <v>65</v>
      </c>
      <c r="D169" s="156" t="s">
        <v>66</v>
      </c>
      <c r="E169" s="156" t="s">
        <v>67</v>
      </c>
      <c r="F169" s="156" t="s">
        <v>68</v>
      </c>
      <c r="G169" s="156" t="s">
        <v>69</v>
      </c>
      <c r="H169" s="156" t="s">
        <v>70</v>
      </c>
      <c r="I169" s="157" t="s">
        <v>71</v>
      </c>
      <c r="J169" s="156" t="s">
        <v>72</v>
      </c>
      <c r="K169" s="158" t="s">
        <v>73</v>
      </c>
    </row>
    <row r="170" spans="2:11" x14ac:dyDescent="0.25">
      <c r="B170" s="37" t="s">
        <v>10</v>
      </c>
      <c r="C170" s="159" t="s">
        <v>162</v>
      </c>
      <c r="D170" s="43" t="s">
        <v>251</v>
      </c>
      <c r="E170" s="40">
        <f>3099750/2</f>
        <v>1549875</v>
      </c>
      <c r="F170" s="41">
        <v>15</v>
      </c>
      <c r="G170" s="41">
        <v>1</v>
      </c>
      <c r="H170" s="40">
        <f t="shared" ref="H170:H174" si="37">F170*G170</f>
        <v>15</v>
      </c>
      <c r="I170" s="40">
        <f>H170*E170</f>
        <v>23248125</v>
      </c>
      <c r="J170" s="42">
        <v>0.9</v>
      </c>
      <c r="K170" s="40">
        <f t="shared" ref="K170:K174" si="38">I170-(I170*J170)</f>
        <v>2324812.5</v>
      </c>
    </row>
    <row r="171" spans="2:11" x14ac:dyDescent="0.25">
      <c r="B171" s="37" t="s">
        <v>10</v>
      </c>
      <c r="C171" s="159" t="s">
        <v>78</v>
      </c>
      <c r="D171" s="43" t="s">
        <v>79</v>
      </c>
      <c r="E171" s="200">
        <v>5000000</v>
      </c>
      <c r="F171" s="41">
        <v>1</v>
      </c>
      <c r="G171" s="41">
        <v>1</v>
      </c>
      <c r="H171" s="40">
        <f t="shared" si="37"/>
        <v>1</v>
      </c>
      <c r="I171" s="40">
        <f>H171*E171</f>
        <v>5000000</v>
      </c>
      <c r="J171" s="42">
        <v>0.13496249999999999</v>
      </c>
      <c r="K171" s="40">
        <f t="shared" si="38"/>
        <v>4325187.5</v>
      </c>
    </row>
    <row r="172" spans="2:11" x14ac:dyDescent="0.25">
      <c r="B172" s="37" t="s">
        <v>10</v>
      </c>
      <c r="C172" s="159" t="s">
        <v>78</v>
      </c>
      <c r="D172" s="43" t="s">
        <v>80</v>
      </c>
      <c r="E172" s="40">
        <v>2500000</v>
      </c>
      <c r="F172" s="41">
        <v>1</v>
      </c>
      <c r="G172" s="41">
        <v>1</v>
      </c>
      <c r="H172" s="40">
        <f t="shared" si="37"/>
        <v>1</v>
      </c>
      <c r="I172" s="40">
        <f>H172*E172</f>
        <v>2500000</v>
      </c>
      <c r="J172" s="42">
        <v>0.5</v>
      </c>
      <c r="K172" s="40">
        <f t="shared" si="38"/>
        <v>1250000</v>
      </c>
    </row>
    <row r="173" spans="2:11" x14ac:dyDescent="0.25">
      <c r="B173" s="37" t="s">
        <v>10</v>
      </c>
      <c r="C173" s="159" t="s">
        <v>78</v>
      </c>
      <c r="D173" s="43" t="s">
        <v>81</v>
      </c>
      <c r="E173" s="40">
        <v>7400000</v>
      </c>
      <c r="F173" s="41">
        <v>1</v>
      </c>
      <c r="G173" s="41">
        <v>1</v>
      </c>
      <c r="H173" s="40">
        <f t="shared" si="37"/>
        <v>1</v>
      </c>
      <c r="I173" s="40">
        <f>H173*E173</f>
        <v>7400000</v>
      </c>
      <c r="J173" s="42">
        <v>0.5</v>
      </c>
      <c r="K173" s="40">
        <f t="shared" si="38"/>
        <v>3700000</v>
      </c>
    </row>
    <row r="174" spans="2:11" ht="15.75" thickBot="1" x14ac:dyDescent="0.3">
      <c r="B174" s="37" t="s">
        <v>10</v>
      </c>
      <c r="C174" s="159" t="s">
        <v>78</v>
      </c>
      <c r="D174" s="43" t="s">
        <v>255</v>
      </c>
      <c r="E174" s="40">
        <v>800000</v>
      </c>
      <c r="F174" s="41">
        <v>1</v>
      </c>
      <c r="G174" s="41">
        <v>1</v>
      </c>
      <c r="H174" s="40">
        <f t="shared" si="37"/>
        <v>1</v>
      </c>
      <c r="I174" s="40">
        <f>H174*E174</f>
        <v>800000</v>
      </c>
      <c r="J174" s="42">
        <v>0.5</v>
      </c>
      <c r="K174" s="40">
        <f t="shared" si="38"/>
        <v>400000</v>
      </c>
    </row>
    <row r="175" spans="2:11" ht="15.75" x14ac:dyDescent="0.25">
      <c r="B175" s="44"/>
      <c r="C175" s="44"/>
      <c r="D175" s="44"/>
      <c r="E175" s="44"/>
      <c r="F175" s="44"/>
      <c r="G175" s="44"/>
      <c r="H175" s="44"/>
      <c r="I175" s="45">
        <f>SUM(I170:I174)</f>
        <v>38948125</v>
      </c>
      <c r="J175" s="44"/>
      <c r="K175" s="46">
        <f>SUM(K170:K174)</f>
        <v>12000000</v>
      </c>
    </row>
    <row r="177" spans="2:11" ht="15.75" thickBot="1" x14ac:dyDescent="0.3"/>
    <row r="178" spans="2:11" ht="18.75" thickBot="1" x14ac:dyDescent="0.3">
      <c r="B178" s="408" t="s">
        <v>376</v>
      </c>
      <c r="C178" s="409"/>
      <c r="D178" s="409"/>
      <c r="E178" s="409"/>
      <c r="F178" s="409"/>
      <c r="G178" s="409"/>
      <c r="H178" s="409"/>
      <c r="I178" s="409"/>
      <c r="J178" s="409"/>
      <c r="K178" s="410"/>
    </row>
    <row r="179" spans="2:11" ht="15.75" thickBot="1" x14ac:dyDescent="0.3">
      <c r="B179" s="155" t="s">
        <v>63</v>
      </c>
      <c r="C179" s="156" t="s">
        <v>65</v>
      </c>
      <c r="D179" s="156" t="s">
        <v>66</v>
      </c>
      <c r="E179" s="156" t="s">
        <v>67</v>
      </c>
      <c r="F179" s="156" t="s">
        <v>68</v>
      </c>
      <c r="G179" s="156" t="s">
        <v>69</v>
      </c>
      <c r="H179" s="156" t="s">
        <v>70</v>
      </c>
      <c r="I179" s="157" t="s">
        <v>71</v>
      </c>
      <c r="J179" s="156" t="s">
        <v>72</v>
      </c>
      <c r="K179" s="158" t="s">
        <v>73</v>
      </c>
    </row>
    <row r="180" spans="2:11" x14ac:dyDescent="0.25">
      <c r="B180" s="37" t="s">
        <v>10</v>
      </c>
      <c r="C180" s="159" t="s">
        <v>162</v>
      </c>
      <c r="D180" s="43" t="s">
        <v>251</v>
      </c>
      <c r="E180" s="40">
        <f>3099750/2</f>
        <v>1549875</v>
      </c>
      <c r="F180" s="41">
        <v>15</v>
      </c>
      <c r="G180" s="41">
        <v>1</v>
      </c>
      <c r="H180" s="40">
        <f t="shared" ref="H180:H184" si="39">F180*G180</f>
        <v>15</v>
      </c>
      <c r="I180" s="40">
        <f>H180*E180</f>
        <v>23248125</v>
      </c>
      <c r="J180" s="42">
        <v>0.9</v>
      </c>
      <c r="K180" s="40">
        <f t="shared" ref="K180:K184" si="40">I180-(I180*J180)</f>
        <v>2324812.5</v>
      </c>
    </row>
    <row r="181" spans="2:11" x14ac:dyDescent="0.25">
      <c r="B181" s="37" t="s">
        <v>10</v>
      </c>
      <c r="C181" s="159" t="s">
        <v>78</v>
      </c>
      <c r="D181" s="43" t="s">
        <v>79</v>
      </c>
      <c r="E181" s="200">
        <v>5000000</v>
      </c>
      <c r="F181" s="41">
        <v>1</v>
      </c>
      <c r="G181" s="41">
        <v>1</v>
      </c>
      <c r="H181" s="40">
        <f t="shared" si="39"/>
        <v>1</v>
      </c>
      <c r="I181" s="40">
        <f>H181*E181</f>
        <v>5000000</v>
      </c>
      <c r="J181" s="42">
        <v>0.5</v>
      </c>
      <c r="K181" s="40">
        <f t="shared" si="40"/>
        <v>2500000</v>
      </c>
    </row>
    <row r="182" spans="2:11" x14ac:dyDescent="0.25">
      <c r="B182" s="37" t="s">
        <v>10</v>
      </c>
      <c r="C182" s="159" t="s">
        <v>78</v>
      </c>
      <c r="D182" s="43" t="s">
        <v>80</v>
      </c>
      <c r="E182" s="40">
        <v>2500000</v>
      </c>
      <c r="F182" s="41">
        <v>1</v>
      </c>
      <c r="G182" s="41">
        <v>1</v>
      </c>
      <c r="H182" s="40">
        <f t="shared" si="39"/>
        <v>1</v>
      </c>
      <c r="I182" s="40">
        <f>H182*E182</f>
        <v>2500000</v>
      </c>
      <c r="J182" s="42">
        <v>0.65</v>
      </c>
      <c r="K182" s="40">
        <f t="shared" si="40"/>
        <v>875000</v>
      </c>
    </row>
    <row r="183" spans="2:11" x14ac:dyDescent="0.25">
      <c r="B183" s="37" t="s">
        <v>10</v>
      </c>
      <c r="C183" s="159" t="s">
        <v>78</v>
      </c>
      <c r="D183" s="43" t="s">
        <v>81</v>
      </c>
      <c r="E183" s="40">
        <v>7400000</v>
      </c>
      <c r="F183" s="41">
        <v>1</v>
      </c>
      <c r="G183" s="41">
        <v>1</v>
      </c>
      <c r="H183" s="40">
        <f t="shared" si="39"/>
        <v>1</v>
      </c>
      <c r="I183" s="40">
        <f>H183*E183</f>
        <v>7400000</v>
      </c>
      <c r="J183" s="42">
        <v>0.65943412162162152</v>
      </c>
      <c r="K183" s="40">
        <f t="shared" si="40"/>
        <v>2520187.5000000009</v>
      </c>
    </row>
    <row r="184" spans="2:11" ht="15.75" thickBot="1" x14ac:dyDescent="0.3">
      <c r="B184" s="37" t="s">
        <v>10</v>
      </c>
      <c r="C184" s="159" t="s">
        <v>78</v>
      </c>
      <c r="D184" s="43" t="s">
        <v>255</v>
      </c>
      <c r="E184" s="40">
        <v>800000</v>
      </c>
      <c r="F184" s="41">
        <v>1</v>
      </c>
      <c r="G184" s="41">
        <v>1</v>
      </c>
      <c r="H184" s="40">
        <f t="shared" si="39"/>
        <v>1</v>
      </c>
      <c r="I184" s="40">
        <f>H184*E184</f>
        <v>800000</v>
      </c>
      <c r="J184" s="42">
        <v>0.65</v>
      </c>
      <c r="K184" s="40">
        <f t="shared" si="40"/>
        <v>280000</v>
      </c>
    </row>
    <row r="185" spans="2:11" ht="15.75" x14ac:dyDescent="0.25">
      <c r="B185" s="44"/>
      <c r="C185" s="44"/>
      <c r="D185" s="44"/>
      <c r="E185" s="44"/>
      <c r="F185" s="44"/>
      <c r="G185" s="44"/>
      <c r="H185" s="44"/>
      <c r="I185" s="45">
        <f>SUM(I180:I184)</f>
        <v>38948125</v>
      </c>
      <c r="J185" s="44"/>
      <c r="K185" s="46">
        <f>SUM(K180:K184)</f>
        <v>8500000</v>
      </c>
    </row>
    <row r="187" spans="2:11" ht="15.75" thickBot="1" x14ac:dyDescent="0.3"/>
    <row r="188" spans="2:11" ht="16.5" thickBot="1" x14ac:dyDescent="0.3">
      <c r="B188" s="411" t="s">
        <v>378</v>
      </c>
      <c r="C188" s="412"/>
      <c r="D188" s="412"/>
      <c r="E188" s="412"/>
      <c r="F188" s="412"/>
      <c r="G188" s="412"/>
      <c r="H188" s="412"/>
      <c r="I188" s="412"/>
      <c r="J188" s="412"/>
      <c r="K188" s="413"/>
    </row>
    <row r="189" spans="2:11" ht="15.75" thickBot="1" x14ac:dyDescent="0.3">
      <c r="B189" s="207" t="s">
        <v>63</v>
      </c>
      <c r="C189" s="208" t="s">
        <v>65</v>
      </c>
      <c r="D189" s="208" t="s">
        <v>66</v>
      </c>
      <c r="E189" s="208" t="s">
        <v>67</v>
      </c>
      <c r="F189" s="208" t="s">
        <v>68</v>
      </c>
      <c r="G189" s="208" t="s">
        <v>69</v>
      </c>
      <c r="H189" s="208" t="s">
        <v>70</v>
      </c>
      <c r="I189" s="209" t="s">
        <v>71</v>
      </c>
      <c r="J189" s="208" t="s">
        <v>72</v>
      </c>
      <c r="K189" s="210" t="s">
        <v>73</v>
      </c>
    </row>
    <row r="190" spans="2:11" x14ac:dyDescent="0.25">
      <c r="B190" s="37" t="s">
        <v>12</v>
      </c>
      <c r="C190" s="211" t="s">
        <v>78</v>
      </c>
      <c r="D190" s="43" t="s">
        <v>79</v>
      </c>
      <c r="E190" s="40">
        <v>8000000</v>
      </c>
      <c r="F190" s="41">
        <v>1</v>
      </c>
      <c r="G190" s="41">
        <v>1</v>
      </c>
      <c r="H190" s="40">
        <f t="shared" ref="H190:H192" si="41">F190*G190</f>
        <v>1</v>
      </c>
      <c r="I190" s="40">
        <f>H190*E190</f>
        <v>8000000</v>
      </c>
      <c r="J190" s="42">
        <v>0.5</v>
      </c>
      <c r="K190" s="40">
        <f t="shared" ref="K190:K192" si="42">I190-(I190*J190)</f>
        <v>4000000</v>
      </c>
    </row>
    <row r="191" spans="2:11" x14ac:dyDescent="0.25">
      <c r="B191" s="37" t="s">
        <v>12</v>
      </c>
      <c r="C191" s="211" t="s">
        <v>78</v>
      </c>
      <c r="D191" s="43" t="s">
        <v>80</v>
      </c>
      <c r="E191" s="40">
        <v>2500000</v>
      </c>
      <c r="F191" s="41">
        <v>1</v>
      </c>
      <c r="G191" s="41">
        <v>1</v>
      </c>
      <c r="H191" s="40">
        <f t="shared" si="41"/>
        <v>1</v>
      </c>
      <c r="I191" s="40">
        <f>H191*E191</f>
        <v>2500000</v>
      </c>
      <c r="J191" s="42">
        <v>0.6</v>
      </c>
      <c r="K191" s="40">
        <f t="shared" si="42"/>
        <v>1000000</v>
      </c>
    </row>
    <row r="192" spans="2:11" ht="15.75" thickBot="1" x14ac:dyDescent="0.3">
      <c r="B192" s="37" t="s">
        <v>12</v>
      </c>
      <c r="C192" s="211" t="s">
        <v>78</v>
      </c>
      <c r="D192" s="43" t="s">
        <v>81</v>
      </c>
      <c r="E192" s="40">
        <v>7000000</v>
      </c>
      <c r="F192" s="41">
        <v>1</v>
      </c>
      <c r="G192" s="41">
        <v>1</v>
      </c>
      <c r="H192" s="40">
        <f t="shared" si="41"/>
        <v>1</v>
      </c>
      <c r="I192" s="40">
        <f>H192*E192</f>
        <v>7000000</v>
      </c>
      <c r="J192" s="42">
        <v>0.6</v>
      </c>
      <c r="K192" s="40">
        <f t="shared" si="42"/>
        <v>2800000</v>
      </c>
    </row>
    <row r="193" spans="2:11" ht="15.75" x14ac:dyDescent="0.25">
      <c r="B193" s="44"/>
      <c r="C193" s="44"/>
      <c r="D193" s="44"/>
      <c r="E193" s="44"/>
      <c r="F193" s="44"/>
      <c r="G193" s="44"/>
      <c r="H193" s="44"/>
      <c r="I193" s="45">
        <f>SUM(I190:I192)</f>
        <v>17500000</v>
      </c>
      <c r="J193" s="44"/>
      <c r="K193" s="46">
        <f>SUM(K190:K192)</f>
        <v>7800000</v>
      </c>
    </row>
    <row r="195" spans="2:11" ht="15.75" thickBot="1" x14ac:dyDescent="0.3"/>
    <row r="196" spans="2:11" ht="18.75" thickBot="1" x14ac:dyDescent="0.3">
      <c r="B196" s="379" t="s">
        <v>318</v>
      </c>
      <c r="C196" s="380"/>
      <c r="D196" s="380"/>
      <c r="E196" s="380"/>
      <c r="F196" s="380"/>
      <c r="G196" s="380"/>
      <c r="H196" s="380"/>
      <c r="I196" s="380"/>
      <c r="J196" s="380"/>
      <c r="K196" s="381"/>
    </row>
    <row r="197" spans="2:11" ht="15.75" thickBot="1" x14ac:dyDescent="0.3">
      <c r="B197" s="160" t="s">
        <v>63</v>
      </c>
      <c r="C197" s="161" t="s">
        <v>65</v>
      </c>
      <c r="D197" s="161" t="s">
        <v>66</v>
      </c>
      <c r="E197" s="161" t="s">
        <v>67</v>
      </c>
      <c r="F197" s="161" t="s">
        <v>68</v>
      </c>
      <c r="G197" s="161" t="s">
        <v>69</v>
      </c>
      <c r="H197" s="161" t="s">
        <v>70</v>
      </c>
      <c r="I197" s="162" t="s">
        <v>71</v>
      </c>
      <c r="J197" s="161" t="s">
        <v>72</v>
      </c>
      <c r="K197" s="163" t="s">
        <v>73</v>
      </c>
    </row>
    <row r="198" spans="2:11" ht="20.25" customHeight="1" x14ac:dyDescent="0.25">
      <c r="B198" s="37" t="s">
        <v>8</v>
      </c>
      <c r="C198" s="164" t="s">
        <v>162</v>
      </c>
      <c r="D198" s="43" t="s">
        <v>151</v>
      </c>
      <c r="E198" s="40">
        <v>6000000</v>
      </c>
      <c r="F198" s="41">
        <v>4</v>
      </c>
      <c r="G198" s="41">
        <v>1</v>
      </c>
      <c r="H198" s="40">
        <f t="shared" ref="H198:H201" si="43">F198*G198</f>
        <v>4</v>
      </c>
      <c r="I198" s="40">
        <f>H198*E198</f>
        <v>24000000</v>
      </c>
      <c r="J198" s="42">
        <v>0.75</v>
      </c>
      <c r="K198" s="40">
        <f t="shared" ref="K198:K201" si="44">I198-(I198*J198)</f>
        <v>6000000</v>
      </c>
    </row>
    <row r="199" spans="2:11" x14ac:dyDescent="0.25">
      <c r="B199" s="37" t="s">
        <v>54</v>
      </c>
      <c r="C199" s="164" t="s">
        <v>78</v>
      </c>
      <c r="D199" s="43" t="s">
        <v>79</v>
      </c>
      <c r="E199" s="40">
        <v>4000000</v>
      </c>
      <c r="F199" s="41">
        <v>1</v>
      </c>
      <c r="G199" s="41">
        <v>1</v>
      </c>
      <c r="H199" s="40">
        <f t="shared" si="43"/>
        <v>1</v>
      </c>
      <c r="I199" s="40">
        <f>H199*E199</f>
        <v>4000000</v>
      </c>
      <c r="J199" s="42">
        <v>0.375</v>
      </c>
      <c r="K199" s="40">
        <f t="shared" si="44"/>
        <v>2500000</v>
      </c>
    </row>
    <row r="200" spans="2:11" x14ac:dyDescent="0.25">
      <c r="B200" s="37" t="s">
        <v>54</v>
      </c>
      <c r="C200" s="164" t="s">
        <v>78</v>
      </c>
      <c r="D200" s="43" t="s">
        <v>80</v>
      </c>
      <c r="E200" s="40">
        <v>4600000</v>
      </c>
      <c r="F200" s="41">
        <v>1</v>
      </c>
      <c r="G200" s="41">
        <v>1</v>
      </c>
      <c r="H200" s="40">
        <f t="shared" si="43"/>
        <v>1</v>
      </c>
      <c r="I200" s="40">
        <f>H200*E200</f>
        <v>4600000</v>
      </c>
      <c r="J200" s="42">
        <v>0.5</v>
      </c>
      <c r="K200" s="40">
        <f t="shared" si="44"/>
        <v>2300000</v>
      </c>
    </row>
    <row r="201" spans="2:11" ht="15.75" thickBot="1" x14ac:dyDescent="0.3">
      <c r="B201" s="37" t="s">
        <v>54</v>
      </c>
      <c r="C201" s="164" t="s">
        <v>78</v>
      </c>
      <c r="D201" s="43" t="s">
        <v>81</v>
      </c>
      <c r="E201" s="40">
        <v>7400000</v>
      </c>
      <c r="F201" s="41">
        <v>1</v>
      </c>
      <c r="G201" s="41">
        <v>1</v>
      </c>
      <c r="H201" s="40">
        <f t="shared" si="43"/>
        <v>1</v>
      </c>
      <c r="I201" s="40">
        <f>H201*E201</f>
        <v>7400000</v>
      </c>
      <c r="J201" s="42">
        <v>0.5</v>
      </c>
      <c r="K201" s="40">
        <f t="shared" si="44"/>
        <v>3700000</v>
      </c>
    </row>
    <row r="202" spans="2:11" ht="15.75" x14ac:dyDescent="0.25">
      <c r="B202" s="44"/>
      <c r="C202" s="44"/>
      <c r="D202" s="44"/>
      <c r="E202" s="44"/>
      <c r="F202" s="44"/>
      <c r="G202" s="44"/>
      <c r="H202" s="44"/>
      <c r="I202" s="45">
        <f>SUM(I198:I201)</f>
        <v>40000000</v>
      </c>
      <c r="J202" s="44"/>
      <c r="K202" s="46">
        <f>SUM(K198:K201)</f>
        <v>14500000</v>
      </c>
    </row>
    <row r="204" spans="2:11" ht="15.75" thickBot="1" x14ac:dyDescent="0.3"/>
    <row r="205" spans="2:11" ht="18.75" thickBot="1" x14ac:dyDescent="0.3">
      <c r="B205" s="379" t="s">
        <v>317</v>
      </c>
      <c r="C205" s="380"/>
      <c r="D205" s="380"/>
      <c r="E205" s="380"/>
      <c r="F205" s="380"/>
      <c r="G205" s="380"/>
      <c r="H205" s="380"/>
      <c r="I205" s="380"/>
      <c r="J205" s="380"/>
      <c r="K205" s="381"/>
    </row>
    <row r="206" spans="2:11" ht="15.75" thickBot="1" x14ac:dyDescent="0.3">
      <c r="B206" s="160" t="s">
        <v>63</v>
      </c>
      <c r="C206" s="161" t="s">
        <v>65</v>
      </c>
      <c r="D206" s="161" t="s">
        <v>66</v>
      </c>
      <c r="E206" s="161" t="s">
        <v>67</v>
      </c>
      <c r="F206" s="161" t="s">
        <v>68</v>
      </c>
      <c r="G206" s="161" t="s">
        <v>69</v>
      </c>
      <c r="H206" s="161" t="s">
        <v>70</v>
      </c>
      <c r="I206" s="162" t="s">
        <v>71</v>
      </c>
      <c r="J206" s="161" t="s">
        <v>72</v>
      </c>
      <c r="K206" s="163" t="s">
        <v>73</v>
      </c>
    </row>
    <row r="207" spans="2:11" x14ac:dyDescent="0.25">
      <c r="B207" s="37" t="s">
        <v>54</v>
      </c>
      <c r="C207" s="164" t="s">
        <v>78</v>
      </c>
      <c r="D207" s="43" t="s">
        <v>79</v>
      </c>
      <c r="E207" s="40">
        <v>4000000</v>
      </c>
      <c r="F207" s="41">
        <v>1</v>
      </c>
      <c r="G207" s="41">
        <v>1</v>
      </c>
      <c r="H207" s="40">
        <f t="shared" ref="H207:H209" si="45">F207*G207</f>
        <v>1</v>
      </c>
      <c r="I207" s="40">
        <f>H207*E207</f>
        <v>4000000</v>
      </c>
      <c r="J207" s="42">
        <v>0</v>
      </c>
      <c r="K207" s="40">
        <f t="shared" ref="K207:K209" si="46">I207-(I207*J207)</f>
        <v>4000000</v>
      </c>
    </row>
    <row r="208" spans="2:11" x14ac:dyDescent="0.25">
      <c r="B208" s="37" t="s">
        <v>54</v>
      </c>
      <c r="C208" s="164" t="s">
        <v>78</v>
      </c>
      <c r="D208" s="43" t="s">
        <v>80</v>
      </c>
      <c r="E208" s="40">
        <v>4600000</v>
      </c>
      <c r="F208" s="41">
        <v>1</v>
      </c>
      <c r="G208" s="41">
        <v>1</v>
      </c>
      <c r="H208" s="40">
        <f t="shared" si="45"/>
        <v>1</v>
      </c>
      <c r="I208" s="40">
        <f>H208*E208</f>
        <v>4600000</v>
      </c>
      <c r="J208" s="42">
        <v>0.5</v>
      </c>
      <c r="K208" s="40">
        <f t="shared" si="46"/>
        <v>2300000</v>
      </c>
    </row>
    <row r="209" spans="2:11" ht="15.75" thickBot="1" x14ac:dyDescent="0.3">
      <c r="B209" s="37" t="s">
        <v>54</v>
      </c>
      <c r="C209" s="164" t="s">
        <v>78</v>
      </c>
      <c r="D209" s="43" t="s">
        <v>81</v>
      </c>
      <c r="E209" s="40">
        <v>7400000</v>
      </c>
      <c r="F209" s="41">
        <v>1</v>
      </c>
      <c r="G209" s="41">
        <v>1</v>
      </c>
      <c r="H209" s="40">
        <f t="shared" si="45"/>
        <v>1</v>
      </c>
      <c r="I209" s="40">
        <f>H209*E209</f>
        <v>7400000</v>
      </c>
      <c r="J209" s="42">
        <v>0.5</v>
      </c>
      <c r="K209" s="40">
        <f t="shared" si="46"/>
        <v>3700000</v>
      </c>
    </row>
    <row r="210" spans="2:11" ht="15.75" x14ac:dyDescent="0.25">
      <c r="B210" s="44"/>
      <c r="C210" s="44"/>
      <c r="D210" s="44"/>
      <c r="E210" s="44"/>
      <c r="F210" s="44"/>
      <c r="G210" s="44"/>
      <c r="H210" s="44"/>
      <c r="I210" s="45">
        <f>SUM(I207:I209)</f>
        <v>16000000</v>
      </c>
      <c r="J210" s="44"/>
      <c r="K210" s="46">
        <f>SUM(K207:K209)</f>
        <v>10000000</v>
      </c>
    </row>
    <row r="212" spans="2:11" ht="15.75" thickBot="1" x14ac:dyDescent="0.3"/>
    <row r="213" spans="2:11" ht="18.75" thickBot="1" x14ac:dyDescent="0.3">
      <c r="B213" s="379" t="s">
        <v>316</v>
      </c>
      <c r="C213" s="380"/>
      <c r="D213" s="380"/>
      <c r="E213" s="380"/>
      <c r="F213" s="380"/>
      <c r="G213" s="380"/>
      <c r="H213" s="380"/>
      <c r="I213" s="380"/>
      <c r="J213" s="380"/>
      <c r="K213" s="381"/>
    </row>
    <row r="214" spans="2:11" ht="15.75" thickBot="1" x14ac:dyDescent="0.3">
      <c r="B214" s="160" t="s">
        <v>63</v>
      </c>
      <c r="C214" s="161" t="s">
        <v>65</v>
      </c>
      <c r="D214" s="161" t="s">
        <v>66</v>
      </c>
      <c r="E214" s="161" t="s">
        <v>67</v>
      </c>
      <c r="F214" s="161" t="s">
        <v>68</v>
      </c>
      <c r="G214" s="161" t="s">
        <v>69</v>
      </c>
      <c r="H214" s="161" t="s">
        <v>70</v>
      </c>
      <c r="I214" s="162" t="s">
        <v>71</v>
      </c>
      <c r="J214" s="161" t="s">
        <v>72</v>
      </c>
      <c r="K214" s="163" t="s">
        <v>73</v>
      </c>
    </row>
    <row r="215" spans="2:11" x14ac:dyDescent="0.25">
      <c r="B215" s="37" t="s">
        <v>54</v>
      </c>
      <c r="C215" s="164" t="s">
        <v>78</v>
      </c>
      <c r="D215" s="43" t="s">
        <v>79</v>
      </c>
      <c r="E215" s="40">
        <v>4000000</v>
      </c>
      <c r="F215" s="41">
        <v>1</v>
      </c>
      <c r="G215" s="41">
        <v>1</v>
      </c>
      <c r="H215" s="40">
        <f t="shared" ref="H215:H217" si="47">F215*G215</f>
        <v>1</v>
      </c>
      <c r="I215" s="40">
        <f>H215*E215</f>
        <v>4000000</v>
      </c>
      <c r="J215" s="42">
        <v>0.3</v>
      </c>
      <c r="K215" s="40">
        <f t="shared" ref="K215:K217" si="48">I215-(I215*J215)</f>
        <v>2800000</v>
      </c>
    </row>
    <row r="216" spans="2:11" x14ac:dyDescent="0.25">
      <c r="B216" s="37" t="s">
        <v>54</v>
      </c>
      <c r="C216" s="164" t="s">
        <v>78</v>
      </c>
      <c r="D216" s="43" t="s">
        <v>80</v>
      </c>
      <c r="E216" s="40">
        <v>4600000</v>
      </c>
      <c r="F216" s="41">
        <v>1</v>
      </c>
      <c r="G216" s="41">
        <v>1</v>
      </c>
      <c r="H216" s="40">
        <f t="shared" si="47"/>
        <v>1</v>
      </c>
      <c r="I216" s="40">
        <f>H216*E216</f>
        <v>4600000</v>
      </c>
      <c r="J216" s="42">
        <v>0.5</v>
      </c>
      <c r="K216" s="40">
        <f t="shared" si="48"/>
        <v>2300000</v>
      </c>
    </row>
    <row r="217" spans="2:11" ht="15.75" thickBot="1" x14ac:dyDescent="0.3">
      <c r="B217" s="37" t="s">
        <v>54</v>
      </c>
      <c r="C217" s="164" t="s">
        <v>78</v>
      </c>
      <c r="D217" s="43" t="s">
        <v>81</v>
      </c>
      <c r="E217" s="40">
        <v>7400000</v>
      </c>
      <c r="F217" s="41">
        <v>1</v>
      </c>
      <c r="G217" s="41">
        <v>1</v>
      </c>
      <c r="H217" s="40">
        <f t="shared" si="47"/>
        <v>1</v>
      </c>
      <c r="I217" s="40">
        <f>H217*E217</f>
        <v>7400000</v>
      </c>
      <c r="J217" s="42">
        <v>0.5</v>
      </c>
      <c r="K217" s="40">
        <f t="shared" si="48"/>
        <v>3700000</v>
      </c>
    </row>
    <row r="218" spans="2:11" ht="16.5" thickBot="1" x14ac:dyDescent="0.3">
      <c r="B218" s="44"/>
      <c r="C218" s="44"/>
      <c r="D218" s="44"/>
      <c r="E218" s="44"/>
      <c r="F218" s="44"/>
      <c r="G218" s="44"/>
      <c r="H218" s="44"/>
      <c r="I218" s="45">
        <f>SUM(I215:I217)</f>
        <v>16000000</v>
      </c>
      <c r="J218" s="44"/>
      <c r="K218" s="46">
        <f>SUM(K215:K217)</f>
        <v>8800000</v>
      </c>
    </row>
    <row r="219" spans="2:11" ht="16.5" thickBot="1" x14ac:dyDescent="0.3">
      <c r="B219" s="44"/>
      <c r="C219" s="44"/>
      <c r="D219" s="44"/>
      <c r="E219" s="44"/>
      <c r="F219" s="44"/>
      <c r="G219" s="44"/>
      <c r="H219" s="44"/>
      <c r="I219" s="191"/>
      <c r="J219" s="44"/>
      <c r="K219" s="44"/>
    </row>
    <row r="220" spans="2:11" ht="18.75" thickBot="1" x14ac:dyDescent="0.3">
      <c r="B220" s="425" t="s">
        <v>260</v>
      </c>
      <c r="C220" s="426"/>
      <c r="D220" s="426"/>
      <c r="E220" s="426"/>
      <c r="F220" s="426"/>
      <c r="G220" s="426"/>
      <c r="H220" s="426"/>
      <c r="I220" s="426"/>
      <c r="J220" s="426"/>
      <c r="K220" s="427"/>
    </row>
    <row r="221" spans="2:11" ht="15.75" thickBot="1" x14ac:dyDescent="0.3">
      <c r="B221" s="185" t="s">
        <v>63</v>
      </c>
      <c r="C221" s="186" t="s">
        <v>65</v>
      </c>
      <c r="D221" s="186" t="s">
        <v>66</v>
      </c>
      <c r="E221" s="186" t="s">
        <v>67</v>
      </c>
      <c r="F221" s="186" t="s">
        <v>68</v>
      </c>
      <c r="G221" s="186" t="s">
        <v>69</v>
      </c>
      <c r="H221" s="186" t="s">
        <v>70</v>
      </c>
      <c r="I221" s="187" t="s">
        <v>71</v>
      </c>
      <c r="J221" s="186" t="s">
        <v>72</v>
      </c>
      <c r="K221" s="188" t="s">
        <v>73</v>
      </c>
    </row>
    <row r="222" spans="2:11" ht="20.25" customHeight="1" x14ac:dyDescent="0.25">
      <c r="B222" s="37" t="s">
        <v>8</v>
      </c>
      <c r="C222" s="189" t="s">
        <v>162</v>
      </c>
      <c r="D222" s="43" t="s">
        <v>259</v>
      </c>
      <c r="E222" s="40">
        <v>6000000</v>
      </c>
      <c r="F222" s="41">
        <v>4</v>
      </c>
      <c r="G222" s="41">
        <v>1</v>
      </c>
      <c r="H222" s="40">
        <f t="shared" ref="H222:H225" si="49">F222*G222</f>
        <v>4</v>
      </c>
      <c r="I222" s="40">
        <f>H222*E222</f>
        <v>24000000</v>
      </c>
      <c r="J222" s="42">
        <v>0.75</v>
      </c>
      <c r="K222" s="40">
        <f t="shared" ref="K222:K225" si="50">I222-(I222*J222)</f>
        <v>6000000</v>
      </c>
    </row>
    <row r="223" spans="2:11" x14ac:dyDescent="0.25">
      <c r="B223" s="37" t="s">
        <v>8</v>
      </c>
      <c r="C223" s="189" t="s">
        <v>78</v>
      </c>
      <c r="D223" s="43" t="s">
        <v>79</v>
      </c>
      <c r="E223" s="40">
        <v>5500000</v>
      </c>
      <c r="F223" s="41">
        <v>1</v>
      </c>
      <c r="G223" s="41">
        <v>1</v>
      </c>
      <c r="H223" s="40">
        <f t="shared" si="49"/>
        <v>1</v>
      </c>
      <c r="I223" s="40">
        <f>H223*E223</f>
        <v>5500000</v>
      </c>
      <c r="J223" s="42">
        <v>0</v>
      </c>
      <c r="K223" s="40">
        <f t="shared" si="50"/>
        <v>5500000</v>
      </c>
    </row>
    <row r="224" spans="2:11" x14ac:dyDescent="0.25">
      <c r="B224" s="37" t="s">
        <v>8</v>
      </c>
      <c r="C224" s="189" t="s">
        <v>78</v>
      </c>
      <c r="D224" s="43" t="s">
        <v>80</v>
      </c>
      <c r="E224" s="40">
        <v>4000000</v>
      </c>
      <c r="F224" s="41">
        <v>1</v>
      </c>
      <c r="G224" s="41">
        <v>1</v>
      </c>
      <c r="H224" s="40">
        <f t="shared" si="49"/>
        <v>1</v>
      </c>
      <c r="I224" s="40">
        <f>H224*E224</f>
        <v>4000000</v>
      </c>
      <c r="J224" s="42">
        <v>0.5</v>
      </c>
      <c r="K224" s="40">
        <f t="shared" si="50"/>
        <v>2000000</v>
      </c>
    </row>
    <row r="225" spans="2:11" x14ac:dyDescent="0.25">
      <c r="B225" s="37" t="s">
        <v>8</v>
      </c>
      <c r="C225" s="189" t="s">
        <v>78</v>
      </c>
      <c r="D225" s="43" t="s">
        <v>81</v>
      </c>
      <c r="E225" s="40">
        <v>4000000</v>
      </c>
      <c r="F225" s="41">
        <v>1</v>
      </c>
      <c r="G225" s="41">
        <v>1</v>
      </c>
      <c r="H225" s="40">
        <f t="shared" si="49"/>
        <v>1</v>
      </c>
      <c r="I225" s="40">
        <f>H225*E225</f>
        <v>4000000</v>
      </c>
      <c r="J225" s="42">
        <v>0.5</v>
      </c>
      <c r="K225" s="40">
        <f t="shared" si="50"/>
        <v>2000000</v>
      </c>
    </row>
    <row r="226" spans="2:11" ht="15.75" x14ac:dyDescent="0.25">
      <c r="B226" s="44"/>
      <c r="C226" s="44"/>
      <c r="D226" s="44"/>
      <c r="E226" s="44"/>
      <c r="F226" s="44"/>
      <c r="G226" s="44"/>
      <c r="H226" s="44"/>
      <c r="I226" s="45">
        <f>SUM(I222:I225)</f>
        <v>37500000</v>
      </c>
      <c r="J226" s="44"/>
      <c r="K226" s="46">
        <f>SUM(K222:K225)</f>
        <v>15500000</v>
      </c>
    </row>
    <row r="229" spans="2:11" ht="18" x14ac:dyDescent="0.25">
      <c r="B229" s="425" t="s">
        <v>261</v>
      </c>
      <c r="C229" s="426"/>
      <c r="D229" s="426"/>
      <c r="E229" s="426"/>
      <c r="F229" s="426"/>
      <c r="G229" s="426"/>
      <c r="H229" s="426"/>
      <c r="I229" s="426"/>
      <c r="J229" s="426"/>
      <c r="K229" s="427"/>
    </row>
    <row r="230" spans="2:11" x14ac:dyDescent="0.25">
      <c r="B230" s="185" t="s">
        <v>63</v>
      </c>
      <c r="C230" s="186" t="s">
        <v>65</v>
      </c>
      <c r="D230" s="186" t="s">
        <v>66</v>
      </c>
      <c r="E230" s="186" t="s">
        <v>67</v>
      </c>
      <c r="F230" s="186" t="s">
        <v>68</v>
      </c>
      <c r="G230" s="186" t="s">
        <v>69</v>
      </c>
      <c r="H230" s="186" t="s">
        <v>70</v>
      </c>
      <c r="I230" s="187" t="s">
        <v>71</v>
      </c>
      <c r="J230" s="186" t="s">
        <v>72</v>
      </c>
      <c r="K230" s="188" t="s">
        <v>73</v>
      </c>
    </row>
    <row r="231" spans="2:11" ht="20.25" customHeight="1" x14ac:dyDescent="0.25">
      <c r="B231" s="37" t="s">
        <v>8</v>
      </c>
      <c r="C231" s="189" t="s">
        <v>162</v>
      </c>
      <c r="D231" s="43" t="s">
        <v>262</v>
      </c>
      <c r="E231" s="40">
        <v>3280000</v>
      </c>
      <c r="F231" s="41">
        <v>4</v>
      </c>
      <c r="G231" s="41">
        <v>1</v>
      </c>
      <c r="H231" s="40">
        <f t="shared" ref="H231:H234" si="51">F231*G231</f>
        <v>4</v>
      </c>
      <c r="I231" s="40">
        <f>H231*E231</f>
        <v>13120000</v>
      </c>
      <c r="J231" s="42">
        <v>0.75</v>
      </c>
      <c r="K231" s="40">
        <f t="shared" ref="K231:K234" si="52">I231-(I231*J231)</f>
        <v>3280000</v>
      </c>
    </row>
    <row r="232" spans="2:11" x14ac:dyDescent="0.25">
      <c r="B232" s="37" t="s">
        <v>8</v>
      </c>
      <c r="C232" s="189" t="s">
        <v>78</v>
      </c>
      <c r="D232" s="43" t="s">
        <v>79</v>
      </c>
      <c r="E232" s="40">
        <v>5000000</v>
      </c>
      <c r="F232" s="41">
        <v>1</v>
      </c>
      <c r="G232" s="41">
        <v>1</v>
      </c>
      <c r="H232" s="40">
        <f t="shared" si="51"/>
        <v>1</v>
      </c>
      <c r="I232" s="40">
        <f>H232*E232</f>
        <v>5000000</v>
      </c>
      <c r="J232" s="42">
        <v>5.6000000000000001E-2</v>
      </c>
      <c r="K232" s="40">
        <f t="shared" si="52"/>
        <v>4720000</v>
      </c>
    </row>
    <row r="233" spans="2:11" x14ac:dyDescent="0.25">
      <c r="B233" s="37" t="s">
        <v>8</v>
      </c>
      <c r="C233" s="189" t="s">
        <v>78</v>
      </c>
      <c r="D233" s="43" t="s">
        <v>80</v>
      </c>
      <c r="E233" s="40">
        <v>4000000</v>
      </c>
      <c r="F233" s="41">
        <v>1</v>
      </c>
      <c r="G233" s="41">
        <v>1</v>
      </c>
      <c r="H233" s="40">
        <f t="shared" si="51"/>
        <v>1</v>
      </c>
      <c r="I233" s="40">
        <f>H233*E233</f>
        <v>4000000</v>
      </c>
      <c r="J233" s="42">
        <v>0.5</v>
      </c>
      <c r="K233" s="40">
        <f t="shared" si="52"/>
        <v>2000000</v>
      </c>
    </row>
    <row r="234" spans="2:11" x14ac:dyDescent="0.25">
      <c r="B234" s="37" t="s">
        <v>8</v>
      </c>
      <c r="C234" s="189" t="s">
        <v>78</v>
      </c>
      <c r="D234" s="43" t="s">
        <v>81</v>
      </c>
      <c r="E234" s="40">
        <v>4000000</v>
      </c>
      <c r="F234" s="41">
        <v>1</v>
      </c>
      <c r="G234" s="41">
        <v>1</v>
      </c>
      <c r="H234" s="40">
        <f t="shared" si="51"/>
        <v>1</v>
      </c>
      <c r="I234" s="40">
        <f>H234*E234</f>
        <v>4000000</v>
      </c>
      <c r="J234" s="42">
        <v>0.5</v>
      </c>
      <c r="K234" s="40">
        <f t="shared" si="52"/>
        <v>2000000</v>
      </c>
    </row>
    <row r="235" spans="2:11" ht="15.75" x14ac:dyDescent="0.25">
      <c r="B235" s="44"/>
      <c r="C235" s="44"/>
      <c r="D235" s="44"/>
      <c r="E235" s="44"/>
      <c r="F235" s="44"/>
      <c r="G235" s="44"/>
      <c r="H235" s="44"/>
      <c r="I235" s="45">
        <f>SUM(I231:I234)</f>
        <v>26120000</v>
      </c>
      <c r="J235" s="44"/>
      <c r="K235" s="46">
        <f>SUM(K231:K234)</f>
        <v>12000000</v>
      </c>
    </row>
    <row r="238" spans="2:11" ht="18" x14ac:dyDescent="0.25">
      <c r="B238" s="425" t="s">
        <v>263</v>
      </c>
      <c r="C238" s="426"/>
      <c r="D238" s="426"/>
      <c r="E238" s="426"/>
      <c r="F238" s="426"/>
      <c r="G238" s="426"/>
      <c r="H238" s="426"/>
      <c r="I238" s="426"/>
      <c r="J238" s="426"/>
      <c r="K238" s="427"/>
    </row>
    <row r="239" spans="2:11" x14ac:dyDescent="0.25">
      <c r="B239" s="185" t="s">
        <v>63</v>
      </c>
      <c r="C239" s="186" t="s">
        <v>65</v>
      </c>
      <c r="D239" s="186" t="s">
        <v>66</v>
      </c>
      <c r="E239" s="186" t="s">
        <v>67</v>
      </c>
      <c r="F239" s="186" t="s">
        <v>68</v>
      </c>
      <c r="G239" s="186" t="s">
        <v>69</v>
      </c>
      <c r="H239" s="186" t="s">
        <v>70</v>
      </c>
      <c r="I239" s="187" t="s">
        <v>71</v>
      </c>
      <c r="J239" s="186" t="s">
        <v>72</v>
      </c>
      <c r="K239" s="188" t="s">
        <v>73</v>
      </c>
    </row>
    <row r="240" spans="2:11" ht="20.25" customHeight="1" x14ac:dyDescent="0.25">
      <c r="B240" s="37" t="s">
        <v>8</v>
      </c>
      <c r="C240" s="190" t="s">
        <v>162</v>
      </c>
      <c r="D240" s="43" t="s">
        <v>259</v>
      </c>
      <c r="E240" s="40">
        <v>6000000</v>
      </c>
      <c r="F240" s="41">
        <v>4</v>
      </c>
      <c r="G240" s="41">
        <v>1</v>
      </c>
      <c r="H240" s="40">
        <f t="shared" ref="H240:H243" si="53">F240*G240</f>
        <v>4</v>
      </c>
      <c r="I240" s="40">
        <f>H240*E240</f>
        <v>24000000</v>
      </c>
      <c r="J240" s="42">
        <v>0.75</v>
      </c>
      <c r="K240" s="40">
        <f t="shared" ref="K240:K243" si="54">I240-(I240*J240)</f>
        <v>6000000</v>
      </c>
    </row>
    <row r="241" spans="2:11" x14ac:dyDescent="0.25">
      <c r="B241" s="37" t="s">
        <v>8</v>
      </c>
      <c r="C241" s="190" t="s">
        <v>78</v>
      </c>
      <c r="D241" s="43" t="s">
        <v>79</v>
      </c>
      <c r="E241" s="40">
        <v>10500000</v>
      </c>
      <c r="F241" s="41">
        <v>1</v>
      </c>
      <c r="G241" s="41">
        <v>1</v>
      </c>
      <c r="H241" s="40">
        <f t="shared" si="53"/>
        <v>1</v>
      </c>
      <c r="I241" s="40">
        <f>H241*E241</f>
        <v>10500000</v>
      </c>
      <c r="J241" s="42">
        <v>0</v>
      </c>
      <c r="K241" s="40">
        <f t="shared" si="54"/>
        <v>10500000</v>
      </c>
    </row>
    <row r="242" spans="2:11" x14ac:dyDescent="0.25">
      <c r="B242" s="37" t="s">
        <v>8</v>
      </c>
      <c r="C242" s="190" t="s">
        <v>78</v>
      </c>
      <c r="D242" s="43" t="s">
        <v>80</v>
      </c>
      <c r="E242" s="40">
        <v>4000000</v>
      </c>
      <c r="F242" s="41">
        <v>1</v>
      </c>
      <c r="G242" s="41">
        <v>1</v>
      </c>
      <c r="H242" s="40">
        <f t="shared" si="53"/>
        <v>1</v>
      </c>
      <c r="I242" s="40">
        <f>H242*E242</f>
        <v>4000000</v>
      </c>
      <c r="J242" s="42">
        <v>0.5</v>
      </c>
      <c r="K242" s="40">
        <f t="shared" si="54"/>
        <v>2000000</v>
      </c>
    </row>
    <row r="243" spans="2:11" x14ac:dyDescent="0.25">
      <c r="B243" s="37" t="s">
        <v>8</v>
      </c>
      <c r="C243" s="190" t="s">
        <v>78</v>
      </c>
      <c r="D243" s="43" t="s">
        <v>81</v>
      </c>
      <c r="E243" s="40">
        <v>4000000</v>
      </c>
      <c r="F243" s="41">
        <v>1</v>
      </c>
      <c r="G243" s="41">
        <v>1</v>
      </c>
      <c r="H243" s="40">
        <f t="shared" si="53"/>
        <v>1</v>
      </c>
      <c r="I243" s="40">
        <f>H243*E243</f>
        <v>4000000</v>
      </c>
      <c r="J243" s="42">
        <v>0.5</v>
      </c>
      <c r="K243" s="40">
        <f t="shared" si="54"/>
        <v>2000000</v>
      </c>
    </row>
    <row r="244" spans="2:11" ht="15.75" x14ac:dyDescent="0.25">
      <c r="B244" s="44"/>
      <c r="C244" s="44"/>
      <c r="D244" s="44"/>
      <c r="E244" s="44"/>
      <c r="F244" s="44"/>
      <c r="G244" s="44"/>
      <c r="H244" s="44"/>
      <c r="I244" s="45">
        <f>SUM(I240:I243)</f>
        <v>42500000</v>
      </c>
      <c r="J244" s="44"/>
      <c r="K244" s="46">
        <f>SUM(K240:K243)</f>
        <v>20500000</v>
      </c>
    </row>
    <row r="247" spans="2:11" ht="18" x14ac:dyDescent="0.25">
      <c r="B247" s="425" t="s">
        <v>264</v>
      </c>
      <c r="C247" s="426"/>
      <c r="D247" s="426"/>
      <c r="E247" s="426"/>
      <c r="F247" s="426"/>
      <c r="G247" s="426"/>
      <c r="H247" s="426"/>
      <c r="I247" s="426"/>
      <c r="J247" s="426"/>
      <c r="K247" s="427"/>
    </row>
    <row r="248" spans="2:11" x14ac:dyDescent="0.25">
      <c r="B248" s="185" t="s">
        <v>63</v>
      </c>
      <c r="C248" s="186" t="s">
        <v>65</v>
      </c>
      <c r="D248" s="186" t="s">
        <v>66</v>
      </c>
      <c r="E248" s="186" t="s">
        <v>67</v>
      </c>
      <c r="F248" s="186" t="s">
        <v>68</v>
      </c>
      <c r="G248" s="186" t="s">
        <v>69</v>
      </c>
      <c r="H248" s="186" t="s">
        <v>70</v>
      </c>
      <c r="I248" s="187" t="s">
        <v>71</v>
      </c>
      <c r="J248" s="186" t="s">
        <v>72</v>
      </c>
      <c r="K248" s="188" t="s">
        <v>73</v>
      </c>
    </row>
    <row r="249" spans="2:11" ht="20.25" customHeight="1" x14ac:dyDescent="0.25">
      <c r="B249" s="37" t="s">
        <v>8</v>
      </c>
      <c r="C249" s="189" t="s">
        <v>162</v>
      </c>
      <c r="D249" s="43" t="s">
        <v>151</v>
      </c>
      <c r="E249" s="40">
        <v>6000000</v>
      </c>
      <c r="F249" s="41">
        <v>4</v>
      </c>
      <c r="G249" s="41">
        <v>1</v>
      </c>
      <c r="H249" s="40">
        <f t="shared" ref="H249:H252" si="55">F249*G249</f>
        <v>4</v>
      </c>
      <c r="I249" s="40">
        <f>H249*E249</f>
        <v>24000000</v>
      </c>
      <c r="J249" s="42">
        <v>0.75</v>
      </c>
      <c r="K249" s="40">
        <f t="shared" ref="K249:K252" si="56">I249-(I249*J249)</f>
        <v>6000000</v>
      </c>
    </row>
    <row r="250" spans="2:11" x14ac:dyDescent="0.25">
      <c r="B250" s="37" t="s">
        <v>8</v>
      </c>
      <c r="C250" s="189" t="s">
        <v>78</v>
      </c>
      <c r="D250" s="43" t="s">
        <v>79</v>
      </c>
      <c r="E250" s="40">
        <v>8000000</v>
      </c>
      <c r="F250" s="41">
        <v>1</v>
      </c>
      <c r="G250" s="41">
        <v>1</v>
      </c>
      <c r="H250" s="40">
        <f t="shared" si="55"/>
        <v>1</v>
      </c>
      <c r="I250" s="40">
        <f>H250*E250</f>
        <v>8000000</v>
      </c>
      <c r="J250" s="42">
        <v>0</v>
      </c>
      <c r="K250" s="40">
        <f t="shared" si="56"/>
        <v>8000000</v>
      </c>
    </row>
    <row r="251" spans="2:11" x14ac:dyDescent="0.25">
      <c r="B251" s="37" t="s">
        <v>8</v>
      </c>
      <c r="C251" s="189" t="s">
        <v>78</v>
      </c>
      <c r="D251" s="43" t="s">
        <v>80</v>
      </c>
      <c r="E251" s="40">
        <v>4000000</v>
      </c>
      <c r="F251" s="41">
        <v>1</v>
      </c>
      <c r="G251" s="41">
        <v>1</v>
      </c>
      <c r="H251" s="40">
        <f t="shared" si="55"/>
        <v>1</v>
      </c>
      <c r="I251" s="40">
        <f>H251*E251</f>
        <v>4000000</v>
      </c>
      <c r="J251" s="42">
        <v>0.5</v>
      </c>
      <c r="K251" s="40">
        <f t="shared" si="56"/>
        <v>2000000</v>
      </c>
    </row>
    <row r="252" spans="2:11" x14ac:dyDescent="0.25">
      <c r="B252" s="37" t="s">
        <v>8</v>
      </c>
      <c r="C252" s="189" t="s">
        <v>78</v>
      </c>
      <c r="D252" s="43" t="s">
        <v>81</v>
      </c>
      <c r="E252" s="40">
        <v>4000000</v>
      </c>
      <c r="F252" s="41">
        <v>1</v>
      </c>
      <c r="G252" s="41">
        <v>1</v>
      </c>
      <c r="H252" s="40">
        <f t="shared" si="55"/>
        <v>1</v>
      </c>
      <c r="I252" s="40">
        <f>H252*E252</f>
        <v>4000000</v>
      </c>
      <c r="J252" s="42">
        <v>0.5</v>
      </c>
      <c r="K252" s="40">
        <f t="shared" si="56"/>
        <v>2000000</v>
      </c>
    </row>
    <row r="253" spans="2:11" ht="15.75" x14ac:dyDescent="0.25">
      <c r="B253" s="44"/>
      <c r="C253" s="44"/>
      <c r="D253" s="44"/>
      <c r="E253" s="44"/>
      <c r="F253" s="44"/>
      <c r="G253" s="44"/>
      <c r="H253" s="44"/>
      <c r="I253" s="45">
        <f>SUM(I249:I252)</f>
        <v>40000000</v>
      </c>
      <c r="J253" s="44"/>
      <c r="K253" s="46">
        <f>SUM(K249:K252)</f>
        <v>18000000</v>
      </c>
    </row>
  </sheetData>
  <mergeCells count="26">
    <mergeCell ref="B247:K247"/>
    <mergeCell ref="B196:K196"/>
    <mergeCell ref="B205:K205"/>
    <mergeCell ref="B220:K220"/>
    <mergeCell ref="B229:K229"/>
    <mergeCell ref="B238:K238"/>
    <mergeCell ref="B213:K213"/>
    <mergeCell ref="B158:K158"/>
    <mergeCell ref="B168:K168"/>
    <mergeCell ref="B188:K188"/>
    <mergeCell ref="B178:K178"/>
    <mergeCell ref="B79:K79"/>
    <mergeCell ref="B113:K113"/>
    <mergeCell ref="B122:K122"/>
    <mergeCell ref="B138:K138"/>
    <mergeCell ref="B148:K148"/>
    <mergeCell ref="B130:K130"/>
    <mergeCell ref="B97:L97"/>
    <mergeCell ref="B87:K87"/>
    <mergeCell ref="B3:K3"/>
    <mergeCell ref="B14:K14"/>
    <mergeCell ref="B25:K25"/>
    <mergeCell ref="B36:K36"/>
    <mergeCell ref="B67:K67"/>
    <mergeCell ref="B46:K46"/>
    <mergeCell ref="B56:K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2461-B53E-4EF1-93AF-6D58C28D359F}">
  <dimension ref="A1:L106"/>
  <sheetViews>
    <sheetView showGridLines="0" zoomScaleNormal="100" workbookViewId="0">
      <selection sqref="A1:K5"/>
    </sheetView>
  </sheetViews>
  <sheetFormatPr baseColWidth="10" defaultRowHeight="15" x14ac:dyDescent="0.25"/>
  <cols>
    <col min="1" max="1" width="16.5703125" customWidth="1"/>
    <col min="2" max="2" width="17.85546875" customWidth="1"/>
    <col min="4" max="4" width="23.42578125" customWidth="1"/>
    <col min="11" max="11" width="16.5703125" customWidth="1"/>
    <col min="12" max="12" width="0" hidden="1" customWidth="1"/>
  </cols>
  <sheetData>
    <row r="1" spans="1:12" ht="18.75" thickBot="1" x14ac:dyDescent="0.3">
      <c r="A1" s="400" t="s">
        <v>108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</row>
    <row r="2" spans="1:12" ht="15.75" thickBot="1" x14ac:dyDescent="0.3">
      <c r="A2" s="49" t="s">
        <v>63</v>
      </c>
      <c r="B2" s="50" t="s">
        <v>64</v>
      </c>
      <c r="C2" s="50" t="s">
        <v>65</v>
      </c>
      <c r="D2" s="50" t="s">
        <v>66</v>
      </c>
      <c r="E2" s="50" t="s">
        <v>67</v>
      </c>
      <c r="F2" s="50" t="s">
        <v>94</v>
      </c>
      <c r="G2" s="50" t="s">
        <v>69</v>
      </c>
      <c r="H2" s="50" t="s">
        <v>70</v>
      </c>
      <c r="I2" s="50" t="s">
        <v>71</v>
      </c>
      <c r="J2" s="81" t="s">
        <v>72</v>
      </c>
      <c r="K2" s="51" t="s">
        <v>73</v>
      </c>
      <c r="L2" s="48">
        <v>0.14000000000000001</v>
      </c>
    </row>
    <row r="3" spans="1:12" x14ac:dyDescent="0.25">
      <c r="A3" s="71" t="s">
        <v>74</v>
      </c>
      <c r="B3" s="71" t="s">
        <v>97</v>
      </c>
      <c r="C3" s="72" t="s">
        <v>109</v>
      </c>
      <c r="D3" s="54" t="s">
        <v>110</v>
      </c>
      <c r="E3" s="79">
        <v>12650000</v>
      </c>
      <c r="F3" s="82">
        <v>1</v>
      </c>
      <c r="G3" s="82">
        <v>1</v>
      </c>
      <c r="H3" s="82">
        <v>1</v>
      </c>
      <c r="I3" s="79">
        <f>E3*F3</f>
        <v>12650000</v>
      </c>
      <c r="J3" s="83">
        <v>0</v>
      </c>
      <c r="K3" s="79">
        <f>I3-I3*J3</f>
        <v>12650000</v>
      </c>
      <c r="L3" s="29"/>
    </row>
    <row r="4" spans="1:12" ht="15.75" thickBot="1" x14ac:dyDescent="0.3">
      <c r="A4" s="71" t="s">
        <v>74</v>
      </c>
      <c r="B4" s="71" t="s">
        <v>78</v>
      </c>
      <c r="C4" s="72" t="s">
        <v>78</v>
      </c>
      <c r="D4" s="54" t="s">
        <v>111</v>
      </c>
      <c r="E4" s="79">
        <v>3790000</v>
      </c>
      <c r="F4" s="82">
        <v>1</v>
      </c>
      <c r="G4" s="82">
        <v>1</v>
      </c>
      <c r="H4" s="82">
        <v>1</v>
      </c>
      <c r="I4" s="79">
        <f>E4*F4</f>
        <v>3790000</v>
      </c>
      <c r="J4" s="83">
        <v>0</v>
      </c>
      <c r="K4" s="79">
        <f>I4-I4*J4</f>
        <v>3790000</v>
      </c>
      <c r="L4" s="29">
        <f>3448800+(3448800*L2)</f>
        <v>3931632</v>
      </c>
    </row>
    <row r="5" spans="1:12" x14ac:dyDescent="0.25">
      <c r="A5" s="84"/>
      <c r="B5" s="84"/>
      <c r="C5" s="84"/>
      <c r="D5" s="84"/>
      <c r="E5" s="84"/>
      <c r="F5" s="84"/>
      <c r="G5" s="84"/>
      <c r="H5" s="84"/>
      <c r="I5" s="85">
        <f>SUM(I3:I4)</f>
        <v>16440000</v>
      </c>
      <c r="J5" s="86"/>
      <c r="K5" s="59">
        <f>SUM(K3:K4)</f>
        <v>16440000</v>
      </c>
    </row>
    <row r="6" spans="1:12" ht="15.75" thickBot="1" x14ac:dyDescent="0.3">
      <c r="A6" s="78"/>
      <c r="B6" s="78"/>
      <c r="C6" s="78"/>
      <c r="D6" s="78"/>
      <c r="E6" s="78"/>
      <c r="F6" s="78"/>
      <c r="G6" s="78"/>
      <c r="H6" s="78"/>
      <c r="I6" s="78"/>
      <c r="J6" s="428"/>
      <c r="K6" s="428"/>
    </row>
    <row r="7" spans="1:12" ht="18.75" thickBot="1" x14ac:dyDescent="0.3">
      <c r="A7" s="400" t="s">
        <v>112</v>
      </c>
      <c r="B7" s="401"/>
      <c r="C7" s="401"/>
      <c r="D7" s="401"/>
      <c r="E7" s="401"/>
      <c r="F7" s="401"/>
      <c r="G7" s="401"/>
      <c r="H7" s="401"/>
      <c r="I7" s="401"/>
      <c r="J7" s="401"/>
      <c r="K7" s="401"/>
    </row>
    <row r="8" spans="1:12" ht="15.75" thickBot="1" x14ac:dyDescent="0.3">
      <c r="A8" s="49" t="s">
        <v>63</v>
      </c>
      <c r="B8" s="50" t="s">
        <v>64</v>
      </c>
      <c r="C8" s="50" t="s">
        <v>65</v>
      </c>
      <c r="D8" s="50" t="s">
        <v>66</v>
      </c>
      <c r="E8" s="50" t="s">
        <v>67</v>
      </c>
      <c r="F8" s="50" t="s">
        <v>94</v>
      </c>
      <c r="G8" s="50" t="s">
        <v>69</v>
      </c>
      <c r="H8" s="50" t="s">
        <v>70</v>
      </c>
      <c r="I8" s="50" t="s">
        <v>71</v>
      </c>
      <c r="J8" s="81" t="s">
        <v>72</v>
      </c>
      <c r="K8" s="51" t="s">
        <v>73</v>
      </c>
      <c r="L8" s="48">
        <v>0.14000000000000001</v>
      </c>
    </row>
    <row r="9" spans="1:12" x14ac:dyDescent="0.25">
      <c r="A9" s="71" t="s">
        <v>74</v>
      </c>
      <c r="B9" s="71" t="s">
        <v>113</v>
      </c>
      <c r="C9" s="72" t="s">
        <v>109</v>
      </c>
      <c r="D9" s="54" t="s">
        <v>110</v>
      </c>
      <c r="E9" s="79">
        <v>6320000</v>
      </c>
      <c r="F9" s="82">
        <v>1</v>
      </c>
      <c r="G9" s="82">
        <v>1</v>
      </c>
      <c r="H9" s="82">
        <v>1</v>
      </c>
      <c r="I9" s="79">
        <f>E9*F9</f>
        <v>6320000</v>
      </c>
      <c r="J9" s="83">
        <v>0</v>
      </c>
      <c r="K9" s="79">
        <f>I9-I9*J9</f>
        <v>6320000</v>
      </c>
      <c r="L9" s="29"/>
    </row>
    <row r="10" spans="1:12" ht="15.75" thickBot="1" x14ac:dyDescent="0.3">
      <c r="A10" s="71" t="s">
        <v>74</v>
      </c>
      <c r="B10" s="71" t="s">
        <v>78</v>
      </c>
      <c r="C10" s="72" t="s">
        <v>78</v>
      </c>
      <c r="D10" s="54" t="s">
        <v>111</v>
      </c>
      <c r="E10" s="79">
        <v>1900000</v>
      </c>
      <c r="F10" s="82">
        <v>1</v>
      </c>
      <c r="G10" s="82">
        <v>1</v>
      </c>
      <c r="H10" s="82">
        <v>1</v>
      </c>
      <c r="I10" s="79">
        <f>E10*F10</f>
        <v>1900000</v>
      </c>
      <c r="J10" s="83">
        <v>0</v>
      </c>
      <c r="K10" s="79">
        <f>I10-I10*J10</f>
        <v>1900000</v>
      </c>
      <c r="L10" s="29">
        <f>1724400+(1724400*L8)</f>
        <v>1965816</v>
      </c>
    </row>
    <row r="11" spans="1:12" x14ac:dyDescent="0.25">
      <c r="A11" s="84"/>
      <c r="B11" s="84"/>
      <c r="C11" s="84"/>
      <c r="D11" s="84"/>
      <c r="E11" s="84"/>
      <c r="F11" s="84"/>
      <c r="G11" s="84"/>
      <c r="H11" s="84"/>
      <c r="I11" s="85">
        <f>SUM(I9:I10)</f>
        <v>8220000</v>
      </c>
      <c r="J11" s="86"/>
      <c r="K11" s="59">
        <f>SUM(K9:K10)</f>
        <v>8220000</v>
      </c>
    </row>
    <row r="12" spans="1:12" ht="15.75" thickBot="1" x14ac:dyDescent="0.3">
      <c r="A12" s="78"/>
      <c r="B12" s="78"/>
      <c r="C12" s="78"/>
      <c r="D12" s="78"/>
      <c r="E12" s="78"/>
      <c r="F12" s="78"/>
      <c r="G12" s="78"/>
      <c r="H12" s="78"/>
      <c r="I12" s="78"/>
      <c r="J12" s="428"/>
      <c r="K12" s="428"/>
    </row>
    <row r="13" spans="1:12" ht="18.75" thickBot="1" x14ac:dyDescent="0.3">
      <c r="A13" s="400" t="s">
        <v>114</v>
      </c>
      <c r="B13" s="401"/>
      <c r="C13" s="401"/>
      <c r="D13" s="401"/>
      <c r="E13" s="401"/>
      <c r="F13" s="401"/>
      <c r="G13" s="401"/>
      <c r="H13" s="401"/>
      <c r="I13" s="401"/>
      <c r="J13" s="401"/>
      <c r="K13" s="401"/>
    </row>
    <row r="14" spans="1:12" ht="15.75" thickBot="1" x14ac:dyDescent="0.3">
      <c r="A14" s="49" t="s">
        <v>63</v>
      </c>
      <c r="B14" s="50" t="s">
        <v>64</v>
      </c>
      <c r="C14" s="50" t="s">
        <v>65</v>
      </c>
      <c r="D14" s="50" t="s">
        <v>66</v>
      </c>
      <c r="E14" s="50" t="s">
        <v>67</v>
      </c>
      <c r="F14" s="50" t="s">
        <v>94</v>
      </c>
      <c r="G14" s="50" t="s">
        <v>69</v>
      </c>
      <c r="H14" s="50" t="s">
        <v>70</v>
      </c>
      <c r="I14" s="50" t="s">
        <v>71</v>
      </c>
      <c r="J14" s="81" t="s">
        <v>72</v>
      </c>
      <c r="K14" s="51" t="s">
        <v>73</v>
      </c>
      <c r="L14" s="48">
        <v>0.14000000000000001</v>
      </c>
    </row>
    <row r="15" spans="1:12" x14ac:dyDescent="0.25">
      <c r="A15" s="71" t="s">
        <v>74</v>
      </c>
      <c r="B15" s="71" t="s">
        <v>115</v>
      </c>
      <c r="C15" s="72" t="s">
        <v>109</v>
      </c>
      <c r="D15" s="54" t="s">
        <v>110</v>
      </c>
      <c r="E15" s="79">
        <v>5690000</v>
      </c>
      <c r="F15" s="82">
        <v>1</v>
      </c>
      <c r="G15" s="82">
        <v>1</v>
      </c>
      <c r="H15" s="82">
        <v>1</v>
      </c>
      <c r="I15" s="79">
        <f>E15*F15</f>
        <v>5690000</v>
      </c>
      <c r="J15" s="83">
        <v>0</v>
      </c>
      <c r="K15" s="79">
        <f>I15-I15*J15</f>
        <v>5690000</v>
      </c>
      <c r="L15" s="29"/>
    </row>
    <row r="16" spans="1:12" ht="15.75" thickBot="1" x14ac:dyDescent="0.3">
      <c r="A16" s="71" t="s">
        <v>74</v>
      </c>
      <c r="B16" s="71" t="s">
        <v>78</v>
      </c>
      <c r="C16" s="72" t="s">
        <v>78</v>
      </c>
      <c r="D16" s="54" t="s">
        <v>111</v>
      </c>
      <c r="E16" s="79">
        <v>1710000</v>
      </c>
      <c r="F16" s="82">
        <v>1</v>
      </c>
      <c r="G16" s="82">
        <v>1</v>
      </c>
      <c r="H16" s="82">
        <v>1</v>
      </c>
      <c r="I16" s="79">
        <f>E16*F16</f>
        <v>1710000</v>
      </c>
      <c r="J16" s="83">
        <v>0</v>
      </c>
      <c r="K16" s="79">
        <f>I16-I16*J16</f>
        <v>1710000</v>
      </c>
      <c r="L16" s="29">
        <f>1552200+(1552200*L14)</f>
        <v>1769508</v>
      </c>
    </row>
    <row r="17" spans="1:12" x14ac:dyDescent="0.25">
      <c r="A17" s="84"/>
      <c r="B17" s="84"/>
      <c r="C17" s="84"/>
      <c r="D17" s="84"/>
      <c r="E17" s="84"/>
      <c r="F17" s="84"/>
      <c r="G17" s="84"/>
      <c r="H17" s="84"/>
      <c r="I17" s="85">
        <f>SUM(I15:I16)</f>
        <v>7400000</v>
      </c>
      <c r="J17" s="86"/>
      <c r="K17" s="59">
        <f>SUM(K15:K16)</f>
        <v>7400000</v>
      </c>
    </row>
    <row r="19" spans="1:12" ht="15.75" thickBot="1" x14ac:dyDescent="0.3"/>
    <row r="20" spans="1:12" ht="18.75" thickBot="1" x14ac:dyDescent="0.3">
      <c r="A20" s="400" t="s">
        <v>116</v>
      </c>
      <c r="B20" s="401"/>
      <c r="C20" s="401"/>
      <c r="D20" s="401"/>
      <c r="E20" s="401"/>
      <c r="F20" s="401"/>
      <c r="G20" s="401"/>
      <c r="H20" s="401"/>
      <c r="I20" s="401"/>
      <c r="J20" s="401"/>
      <c r="K20" s="401"/>
    </row>
    <row r="21" spans="1:12" ht="15.75" thickBot="1" x14ac:dyDescent="0.3">
      <c r="A21" s="49" t="s">
        <v>63</v>
      </c>
      <c r="B21" s="50" t="s">
        <v>64</v>
      </c>
      <c r="C21" s="50" t="s">
        <v>65</v>
      </c>
      <c r="D21" s="50" t="s">
        <v>66</v>
      </c>
      <c r="E21" s="50" t="s">
        <v>67</v>
      </c>
      <c r="F21" s="50" t="s">
        <v>94</v>
      </c>
      <c r="G21" s="50" t="s">
        <v>69</v>
      </c>
      <c r="H21" s="50" t="s">
        <v>70</v>
      </c>
      <c r="I21" s="50" t="s">
        <v>71</v>
      </c>
      <c r="J21" s="81" t="s">
        <v>72</v>
      </c>
      <c r="K21" s="51" t="s">
        <v>73</v>
      </c>
      <c r="L21" s="48">
        <v>0.14000000000000001</v>
      </c>
    </row>
    <row r="22" spans="1:12" x14ac:dyDescent="0.25">
      <c r="A22" s="71" t="s">
        <v>12</v>
      </c>
      <c r="B22" s="71" t="s">
        <v>97</v>
      </c>
      <c r="C22" s="72" t="s">
        <v>109</v>
      </c>
      <c r="D22" s="54" t="s">
        <v>110</v>
      </c>
      <c r="E22" s="79">
        <v>16900000</v>
      </c>
      <c r="F22" s="82">
        <v>1</v>
      </c>
      <c r="G22" s="82">
        <v>1</v>
      </c>
      <c r="H22" s="82">
        <v>1</v>
      </c>
      <c r="I22" s="79">
        <f>E22*F22</f>
        <v>16900000</v>
      </c>
      <c r="J22" s="83">
        <v>-1.9138133055591634E-3</v>
      </c>
      <c r="K22" s="79">
        <f>I22-I22*J22</f>
        <v>16932343.444863949</v>
      </c>
      <c r="L22" s="29"/>
    </row>
    <row r="23" spans="1:12" ht="15.75" thickBot="1" x14ac:dyDescent="0.3">
      <c r="A23" s="71" t="s">
        <v>12</v>
      </c>
      <c r="B23" s="71" t="s">
        <v>78</v>
      </c>
      <c r="C23" s="72" t="s">
        <v>78</v>
      </c>
      <c r="D23" s="54" t="s">
        <v>111</v>
      </c>
      <c r="E23" s="79">
        <f>L23</f>
        <v>5253804</v>
      </c>
      <c r="F23" s="82">
        <v>1</v>
      </c>
      <c r="G23" s="82">
        <v>1</v>
      </c>
      <c r="H23" s="82">
        <v>1</v>
      </c>
      <c r="I23" s="79">
        <f>E23*F23</f>
        <v>5253804</v>
      </c>
      <c r="J23" s="83">
        <v>6.8802423660931367E-3</v>
      </c>
      <c r="K23" s="79">
        <f>I23-I23*J23</f>
        <v>5217656.5551360501</v>
      </c>
      <c r="L23" s="29">
        <f>4608600+(4608600*L21)</f>
        <v>5253804</v>
      </c>
    </row>
    <row r="24" spans="1:12" x14ac:dyDescent="0.25">
      <c r="A24" s="84"/>
      <c r="B24" s="84"/>
      <c r="C24" s="84"/>
      <c r="D24" s="84"/>
      <c r="E24" s="84"/>
      <c r="F24" s="84"/>
      <c r="G24" s="84"/>
      <c r="H24" s="84"/>
      <c r="I24" s="85">
        <f>SUM(I22:I23)</f>
        <v>22153804</v>
      </c>
      <c r="J24" s="86"/>
      <c r="K24" s="59">
        <f>SUM(K22:K23)</f>
        <v>22150000</v>
      </c>
    </row>
    <row r="25" spans="1:12" ht="15.75" thickBot="1" x14ac:dyDescent="0.3">
      <c r="A25" s="78"/>
      <c r="B25" s="78"/>
      <c r="C25" s="78"/>
      <c r="D25" s="78"/>
      <c r="E25" s="78"/>
      <c r="F25" s="78"/>
      <c r="G25" s="78"/>
      <c r="H25" s="78"/>
      <c r="I25" s="78"/>
      <c r="J25" s="87"/>
      <c r="K25" s="78"/>
    </row>
    <row r="26" spans="1:12" ht="18.75" thickBot="1" x14ac:dyDescent="0.3">
      <c r="A26" s="400" t="s">
        <v>117</v>
      </c>
      <c r="B26" s="401"/>
      <c r="C26" s="401"/>
      <c r="D26" s="401"/>
      <c r="E26" s="401"/>
      <c r="F26" s="401"/>
      <c r="G26" s="401"/>
      <c r="H26" s="401"/>
      <c r="I26" s="401"/>
      <c r="J26" s="401"/>
      <c r="K26" s="401"/>
    </row>
    <row r="27" spans="1:12" ht="15.75" thickBot="1" x14ac:dyDescent="0.3">
      <c r="A27" s="49" t="s">
        <v>63</v>
      </c>
      <c r="B27" s="50" t="s">
        <v>64</v>
      </c>
      <c r="C27" s="50" t="s">
        <v>65</v>
      </c>
      <c r="D27" s="50" t="s">
        <v>66</v>
      </c>
      <c r="E27" s="50" t="s">
        <v>67</v>
      </c>
      <c r="F27" s="50" t="s">
        <v>94</v>
      </c>
      <c r="G27" s="50" t="s">
        <v>69</v>
      </c>
      <c r="H27" s="50" t="s">
        <v>70</v>
      </c>
      <c r="I27" s="50" t="s">
        <v>71</v>
      </c>
      <c r="J27" s="81" t="s">
        <v>72</v>
      </c>
      <c r="K27" s="51" t="s">
        <v>73</v>
      </c>
      <c r="L27" s="48">
        <v>0.14000000000000001</v>
      </c>
    </row>
    <row r="28" spans="1:12" x14ac:dyDescent="0.25">
      <c r="A28" s="71" t="s">
        <v>12</v>
      </c>
      <c r="B28" s="71" t="s">
        <v>113</v>
      </c>
      <c r="C28" s="72" t="s">
        <v>109</v>
      </c>
      <c r="D28" s="54" t="s">
        <v>110</v>
      </c>
      <c r="E28" s="79">
        <v>7450000</v>
      </c>
      <c r="F28" s="82">
        <v>1</v>
      </c>
      <c r="G28" s="82">
        <v>1</v>
      </c>
      <c r="H28" s="82">
        <v>1</v>
      </c>
      <c r="I28" s="79">
        <f>E28*F28</f>
        <v>7450000</v>
      </c>
      <c r="J28" s="83">
        <v>0</v>
      </c>
      <c r="K28" s="79">
        <f>I28-I28*J28</f>
        <v>7450000</v>
      </c>
      <c r="L28" s="29"/>
    </row>
    <row r="29" spans="1:12" ht="15.75" thickBot="1" x14ac:dyDescent="0.3">
      <c r="A29" s="71" t="s">
        <v>12</v>
      </c>
      <c r="B29" s="71" t="s">
        <v>78</v>
      </c>
      <c r="C29" s="72" t="s">
        <v>78</v>
      </c>
      <c r="D29" s="54" t="s">
        <v>111</v>
      </c>
      <c r="E29" s="79">
        <f>L29</f>
        <v>2317734</v>
      </c>
      <c r="F29" s="82">
        <v>1</v>
      </c>
      <c r="G29" s="82">
        <v>1</v>
      </c>
      <c r="H29" s="82">
        <v>1</v>
      </c>
      <c r="I29" s="79">
        <f>E29*F29</f>
        <v>2317734</v>
      </c>
      <c r="J29" s="83">
        <v>7.6514388622681093E-3</v>
      </c>
      <c r="K29" s="79">
        <f>I29-I29*J29</f>
        <v>2300000</v>
      </c>
      <c r="L29" s="29">
        <f>2033100+(2033100*L27)</f>
        <v>2317734</v>
      </c>
    </row>
    <row r="30" spans="1:12" x14ac:dyDescent="0.25">
      <c r="A30" s="84"/>
      <c r="B30" s="84"/>
      <c r="C30" s="84"/>
      <c r="D30" s="84"/>
      <c r="E30" s="84"/>
      <c r="F30" s="84"/>
      <c r="G30" s="84"/>
      <c r="H30" s="84"/>
      <c r="I30" s="85">
        <f>SUM(I28:I29)</f>
        <v>9767734</v>
      </c>
      <c r="J30" s="86"/>
      <c r="K30" s="59">
        <f>SUM(K28:K29)</f>
        <v>9750000</v>
      </c>
    </row>
    <row r="32" spans="1:12" ht="15.75" thickBot="1" x14ac:dyDescent="0.3"/>
    <row r="33" spans="1:12" ht="18.75" thickBot="1" x14ac:dyDescent="0.3">
      <c r="A33" s="400" t="s">
        <v>118</v>
      </c>
      <c r="B33" s="401"/>
      <c r="C33" s="401"/>
      <c r="D33" s="401"/>
      <c r="E33" s="401"/>
      <c r="F33" s="401"/>
      <c r="G33" s="401"/>
      <c r="H33" s="401"/>
      <c r="I33" s="401"/>
      <c r="J33" s="401"/>
      <c r="K33" s="401"/>
    </row>
    <row r="34" spans="1:12" ht="15.75" thickBot="1" x14ac:dyDescent="0.3">
      <c r="A34" s="49" t="s">
        <v>63</v>
      </c>
      <c r="B34" s="50" t="s">
        <v>64</v>
      </c>
      <c r="C34" s="50" t="s">
        <v>65</v>
      </c>
      <c r="D34" s="50" t="s">
        <v>66</v>
      </c>
      <c r="E34" s="50" t="s">
        <v>67</v>
      </c>
      <c r="F34" s="50" t="s">
        <v>94</v>
      </c>
      <c r="G34" s="50" t="s">
        <v>69</v>
      </c>
      <c r="H34" s="50" t="s">
        <v>70</v>
      </c>
      <c r="I34" s="50" t="s">
        <v>71</v>
      </c>
      <c r="J34" s="81" t="s">
        <v>72</v>
      </c>
      <c r="K34" s="51" t="s">
        <v>73</v>
      </c>
      <c r="L34" s="48">
        <v>0.14000000000000001</v>
      </c>
    </row>
    <row r="35" spans="1:12" x14ac:dyDescent="0.25">
      <c r="A35" s="71" t="s">
        <v>10</v>
      </c>
      <c r="B35" s="71" t="s">
        <v>97</v>
      </c>
      <c r="C35" s="72" t="s">
        <v>109</v>
      </c>
      <c r="D35" s="54" t="s">
        <v>110</v>
      </c>
      <c r="E35" s="79">
        <v>20290000</v>
      </c>
      <c r="F35" s="82">
        <v>1</v>
      </c>
      <c r="G35" s="82">
        <v>1</v>
      </c>
      <c r="H35" s="82">
        <v>1</v>
      </c>
      <c r="I35" s="79">
        <f>E35*F35</f>
        <v>20290000</v>
      </c>
      <c r="J35" s="83">
        <v>-2.178413011335624E-5</v>
      </c>
      <c r="K35" s="79">
        <f>I35-I35*J35</f>
        <v>20290442</v>
      </c>
      <c r="L35" s="29"/>
    </row>
    <row r="36" spans="1:12" ht="15.75" thickBot="1" x14ac:dyDescent="0.3">
      <c r="A36" s="71" t="s">
        <v>10</v>
      </c>
      <c r="B36" s="71" t="s">
        <v>78</v>
      </c>
      <c r="C36" s="72" t="s">
        <v>78</v>
      </c>
      <c r="D36" s="54" t="s">
        <v>111</v>
      </c>
      <c r="E36" s="79">
        <f>L36</f>
        <v>6309558</v>
      </c>
      <c r="F36" s="82">
        <v>1</v>
      </c>
      <c r="G36" s="82">
        <v>1</v>
      </c>
      <c r="H36" s="82">
        <v>1</v>
      </c>
      <c r="I36" s="79">
        <f>E36*F36</f>
        <v>6309558</v>
      </c>
      <c r="J36" s="83">
        <v>0</v>
      </c>
      <c r="K36" s="79">
        <f>I36-I36*J36</f>
        <v>6309558</v>
      </c>
      <c r="L36" s="29">
        <f>5534700+(5534700*L34)</f>
        <v>6309558</v>
      </c>
    </row>
    <row r="37" spans="1:12" x14ac:dyDescent="0.25">
      <c r="A37" s="84"/>
      <c r="B37" s="84"/>
      <c r="C37" s="84"/>
      <c r="D37" s="84"/>
      <c r="E37" s="84"/>
      <c r="F37" s="84"/>
      <c r="G37" s="84"/>
      <c r="H37" s="84"/>
      <c r="I37" s="85">
        <f>SUM(I35:I36)</f>
        <v>26599558</v>
      </c>
      <c r="J37" s="86"/>
      <c r="K37" s="59">
        <f>SUM(K35:K36)</f>
        <v>26600000</v>
      </c>
    </row>
    <row r="38" spans="1:12" ht="15.75" thickBot="1" x14ac:dyDescent="0.3">
      <c r="A38" s="78"/>
      <c r="B38" s="78"/>
      <c r="C38" s="78"/>
      <c r="D38" s="78"/>
      <c r="E38" s="78"/>
      <c r="F38" s="78"/>
      <c r="G38" s="78"/>
      <c r="H38" s="78"/>
      <c r="I38" s="78"/>
      <c r="J38" s="87"/>
      <c r="K38" s="78"/>
    </row>
    <row r="39" spans="1:12" ht="18.75" thickBot="1" x14ac:dyDescent="0.3">
      <c r="A39" s="400" t="s">
        <v>119</v>
      </c>
      <c r="B39" s="401"/>
      <c r="C39" s="401"/>
      <c r="D39" s="401"/>
      <c r="E39" s="401"/>
      <c r="F39" s="401"/>
      <c r="G39" s="401"/>
      <c r="H39" s="401"/>
      <c r="I39" s="401"/>
      <c r="J39" s="401"/>
      <c r="K39" s="401"/>
    </row>
    <row r="40" spans="1:12" ht="15.75" thickBot="1" x14ac:dyDescent="0.3">
      <c r="A40" s="49" t="s">
        <v>63</v>
      </c>
      <c r="B40" s="50" t="s">
        <v>64</v>
      </c>
      <c r="C40" s="50" t="s">
        <v>65</v>
      </c>
      <c r="D40" s="50" t="s">
        <v>66</v>
      </c>
      <c r="E40" s="50" t="s">
        <v>67</v>
      </c>
      <c r="F40" s="50" t="s">
        <v>94</v>
      </c>
      <c r="G40" s="50" t="s">
        <v>69</v>
      </c>
      <c r="H40" s="50" t="s">
        <v>70</v>
      </c>
      <c r="I40" s="50" t="s">
        <v>71</v>
      </c>
      <c r="J40" s="81" t="s">
        <v>72</v>
      </c>
      <c r="K40" s="51" t="s">
        <v>73</v>
      </c>
      <c r="L40" s="48">
        <v>0.14000000000000001</v>
      </c>
    </row>
    <row r="41" spans="1:12" x14ac:dyDescent="0.25">
      <c r="A41" s="71" t="s">
        <v>10</v>
      </c>
      <c r="B41" s="71" t="s">
        <v>113</v>
      </c>
      <c r="C41" s="72" t="s">
        <v>109</v>
      </c>
      <c r="D41" s="54" t="s">
        <v>110</v>
      </c>
      <c r="E41" s="79">
        <v>9370000</v>
      </c>
      <c r="F41" s="82">
        <v>1</v>
      </c>
      <c r="G41" s="82">
        <v>1</v>
      </c>
      <c r="H41" s="82">
        <v>1</v>
      </c>
      <c r="I41" s="79">
        <f>E41*F41</f>
        <v>9370000</v>
      </c>
      <c r="J41" s="83">
        <v>0</v>
      </c>
      <c r="K41" s="79">
        <f>I41-I41*J41</f>
        <v>9370000</v>
      </c>
      <c r="L41" s="29"/>
    </row>
    <row r="42" spans="1:12" ht="15.75" thickBot="1" x14ac:dyDescent="0.3">
      <c r="A42" s="71" t="s">
        <v>10</v>
      </c>
      <c r="B42" s="71" t="s">
        <v>78</v>
      </c>
      <c r="C42" s="72" t="s">
        <v>78</v>
      </c>
      <c r="D42" s="54" t="s">
        <v>111</v>
      </c>
      <c r="E42" s="79">
        <f>L42</f>
        <v>2911788</v>
      </c>
      <c r="F42" s="82">
        <v>1</v>
      </c>
      <c r="G42" s="82">
        <v>1</v>
      </c>
      <c r="H42" s="82">
        <v>1</v>
      </c>
      <c r="I42" s="79">
        <f>E42*F42</f>
        <v>2911788</v>
      </c>
      <c r="J42" s="83">
        <v>1.0917003573062715E-2</v>
      </c>
      <c r="K42" s="79">
        <f>I42-I42*J42</f>
        <v>2879999.9999999991</v>
      </c>
      <c r="L42" s="29">
        <f>2554200+(2554200*L40)</f>
        <v>2911788</v>
      </c>
    </row>
    <row r="43" spans="1:12" x14ac:dyDescent="0.25">
      <c r="A43" s="84"/>
      <c r="B43" s="84"/>
      <c r="C43" s="84"/>
      <c r="D43" s="84"/>
      <c r="E43" s="84"/>
      <c r="F43" s="84"/>
      <c r="G43" s="84"/>
      <c r="H43" s="84"/>
      <c r="I43" s="85">
        <f>SUM(I41:I42)</f>
        <v>12281788</v>
      </c>
      <c r="J43" s="86"/>
      <c r="K43" s="59">
        <f>SUM(K41:K42)</f>
        <v>12250000</v>
      </c>
    </row>
    <row r="44" spans="1:12" ht="15.75" thickBot="1" x14ac:dyDescent="0.3">
      <c r="A44" s="78"/>
      <c r="B44" s="78"/>
      <c r="C44" s="78"/>
      <c r="D44" s="78"/>
      <c r="E44" s="78"/>
      <c r="F44" s="78"/>
      <c r="G44" s="78"/>
      <c r="H44" s="78"/>
      <c r="I44" s="78"/>
      <c r="J44" s="87"/>
      <c r="K44" s="78"/>
    </row>
    <row r="45" spans="1:12" ht="18.75" thickBot="1" x14ac:dyDescent="0.3">
      <c r="A45" s="400" t="s">
        <v>120</v>
      </c>
      <c r="B45" s="401"/>
      <c r="C45" s="401"/>
      <c r="D45" s="401"/>
      <c r="E45" s="401"/>
      <c r="F45" s="401"/>
      <c r="G45" s="401"/>
      <c r="H45" s="401"/>
      <c r="I45" s="401"/>
      <c r="J45" s="401"/>
      <c r="K45" s="401"/>
    </row>
    <row r="46" spans="1:12" ht="15.75" thickBot="1" x14ac:dyDescent="0.3">
      <c r="A46" s="49" t="s">
        <v>63</v>
      </c>
      <c r="B46" s="50" t="s">
        <v>64</v>
      </c>
      <c r="C46" s="50" t="s">
        <v>65</v>
      </c>
      <c r="D46" s="50" t="s">
        <v>66</v>
      </c>
      <c r="E46" s="50" t="s">
        <v>67</v>
      </c>
      <c r="F46" s="50" t="s">
        <v>94</v>
      </c>
      <c r="G46" s="50" t="s">
        <v>69</v>
      </c>
      <c r="H46" s="50" t="s">
        <v>70</v>
      </c>
      <c r="I46" s="50" t="s">
        <v>71</v>
      </c>
      <c r="J46" s="81" t="s">
        <v>72</v>
      </c>
      <c r="K46" s="51" t="s">
        <v>73</v>
      </c>
      <c r="L46" s="48">
        <v>0.14000000000000001</v>
      </c>
    </row>
    <row r="47" spans="1:12" x14ac:dyDescent="0.25">
      <c r="A47" s="71" t="s">
        <v>10</v>
      </c>
      <c r="B47" s="71" t="s">
        <v>115</v>
      </c>
      <c r="C47" s="72" t="s">
        <v>109</v>
      </c>
      <c r="D47" s="54" t="s">
        <v>110</v>
      </c>
      <c r="E47" s="79">
        <v>9370000</v>
      </c>
      <c r="F47" s="82">
        <v>1</v>
      </c>
      <c r="G47" s="82">
        <v>1</v>
      </c>
      <c r="H47" s="82">
        <v>1</v>
      </c>
      <c r="I47" s="79">
        <f>E47*F47</f>
        <v>9370000</v>
      </c>
      <c r="J47" s="83">
        <v>0</v>
      </c>
      <c r="K47" s="79">
        <f>I47-I47*J47</f>
        <v>9370000</v>
      </c>
      <c r="L47" s="29"/>
    </row>
    <row r="48" spans="1:12" ht="15.75" thickBot="1" x14ac:dyDescent="0.3">
      <c r="A48" s="71" t="s">
        <v>10</v>
      </c>
      <c r="B48" s="71" t="s">
        <v>78</v>
      </c>
      <c r="C48" s="72" t="s">
        <v>78</v>
      </c>
      <c r="D48" s="54" t="s">
        <v>111</v>
      </c>
      <c r="E48" s="79">
        <f>L48</f>
        <v>2911788</v>
      </c>
      <c r="F48" s="82">
        <v>1</v>
      </c>
      <c r="G48" s="82">
        <v>1</v>
      </c>
      <c r="H48" s="82">
        <v>1</v>
      </c>
      <c r="I48" s="79">
        <f>E48*F48</f>
        <v>2911788</v>
      </c>
      <c r="J48" s="83">
        <v>1.0917003573062715E-2</v>
      </c>
      <c r="K48" s="79">
        <f>I48-I48*J48</f>
        <v>2879999.9999999991</v>
      </c>
      <c r="L48" s="29">
        <f>2554200+(2554200*L46)</f>
        <v>2911788</v>
      </c>
    </row>
    <row r="49" spans="1:12" x14ac:dyDescent="0.25">
      <c r="A49" s="84"/>
      <c r="B49" s="84"/>
      <c r="C49" s="84"/>
      <c r="D49" s="84"/>
      <c r="E49" s="84"/>
      <c r="F49" s="84"/>
      <c r="G49" s="84"/>
      <c r="H49" s="84"/>
      <c r="I49" s="85">
        <f>SUM(I47:I48)</f>
        <v>12281788</v>
      </c>
      <c r="J49" s="86"/>
      <c r="K49" s="59">
        <f>SUM(K47:K48)</f>
        <v>12250000</v>
      </c>
    </row>
    <row r="50" spans="1:12" ht="15.75" thickBot="1" x14ac:dyDescent="0.3">
      <c r="A50" s="78"/>
      <c r="B50" s="78"/>
      <c r="C50" s="78"/>
      <c r="D50" s="78"/>
      <c r="E50" s="78"/>
      <c r="F50" s="78"/>
      <c r="G50" s="78"/>
      <c r="H50" s="78"/>
      <c r="I50" s="78"/>
      <c r="J50" s="87"/>
      <c r="K50" s="78"/>
    </row>
    <row r="51" spans="1:12" ht="18.75" thickBot="1" x14ac:dyDescent="0.3">
      <c r="A51" s="400" t="s">
        <v>121</v>
      </c>
      <c r="B51" s="401"/>
      <c r="C51" s="401"/>
      <c r="D51" s="401"/>
      <c r="E51" s="401"/>
      <c r="F51" s="401"/>
      <c r="G51" s="401"/>
      <c r="H51" s="401"/>
      <c r="I51" s="401"/>
      <c r="J51" s="401"/>
      <c r="K51" s="401"/>
    </row>
    <row r="52" spans="1:12" ht="15.75" thickBot="1" x14ac:dyDescent="0.3">
      <c r="A52" s="49" t="s">
        <v>63</v>
      </c>
      <c r="B52" s="50" t="s">
        <v>64</v>
      </c>
      <c r="C52" s="50" t="s">
        <v>65</v>
      </c>
      <c r="D52" s="50" t="s">
        <v>66</v>
      </c>
      <c r="E52" s="50" t="s">
        <v>67</v>
      </c>
      <c r="F52" s="50" t="s">
        <v>94</v>
      </c>
      <c r="G52" s="50" t="s">
        <v>69</v>
      </c>
      <c r="H52" s="50" t="s">
        <v>70</v>
      </c>
      <c r="I52" s="50" t="s">
        <v>71</v>
      </c>
      <c r="J52" s="81" t="s">
        <v>72</v>
      </c>
      <c r="K52" s="51" t="s">
        <v>73</v>
      </c>
      <c r="L52" s="48">
        <v>0.14000000000000001</v>
      </c>
    </row>
    <row r="53" spans="1:12" x14ac:dyDescent="0.25">
      <c r="A53" s="71" t="s">
        <v>10</v>
      </c>
      <c r="B53" s="71" t="s">
        <v>122</v>
      </c>
      <c r="C53" s="72" t="s">
        <v>109</v>
      </c>
      <c r="D53" s="54" t="s">
        <v>110</v>
      </c>
      <c r="E53" s="79">
        <v>4490000</v>
      </c>
      <c r="F53" s="82">
        <v>1</v>
      </c>
      <c r="G53" s="82">
        <v>1</v>
      </c>
      <c r="H53" s="82">
        <v>1</v>
      </c>
      <c r="I53" s="79">
        <f>E53*F53</f>
        <v>4490000</v>
      </c>
      <c r="J53" s="83">
        <v>0</v>
      </c>
      <c r="K53" s="79">
        <f>I53-I53*J53</f>
        <v>4490000</v>
      </c>
      <c r="L53" s="29"/>
    </row>
    <row r="54" spans="1:12" ht="15.75" thickBot="1" x14ac:dyDescent="0.3">
      <c r="A54" s="71" t="s">
        <v>10</v>
      </c>
      <c r="B54" s="71" t="s">
        <v>78</v>
      </c>
      <c r="C54" s="72" t="s">
        <v>78</v>
      </c>
      <c r="D54" s="54" t="s">
        <v>111</v>
      </c>
      <c r="E54" s="79">
        <f>L54</f>
        <v>1396386</v>
      </c>
      <c r="F54" s="82">
        <v>1</v>
      </c>
      <c r="G54" s="82">
        <v>1</v>
      </c>
      <c r="H54" s="82">
        <v>1</v>
      </c>
      <c r="I54" s="79">
        <f>E54*F54</f>
        <v>1396386</v>
      </c>
      <c r="J54" s="83">
        <v>2.6057264968281785E-2</v>
      </c>
      <c r="K54" s="79">
        <f>I54-I54*J54</f>
        <v>1360000.0000000009</v>
      </c>
      <c r="L54" s="29">
        <f>1224900+(1224900*L52)</f>
        <v>1396386</v>
      </c>
    </row>
    <row r="55" spans="1:12" x14ac:dyDescent="0.25">
      <c r="A55" s="84"/>
      <c r="B55" s="84"/>
      <c r="C55" s="84"/>
      <c r="D55" s="84"/>
      <c r="E55" s="84"/>
      <c r="F55" s="84"/>
      <c r="G55" s="84"/>
      <c r="H55" s="84"/>
      <c r="I55" s="85">
        <f>SUM(I53:I54)</f>
        <v>5886386</v>
      </c>
      <c r="J55" s="86"/>
      <c r="K55" s="59">
        <f>SUM(K53:K54)</f>
        <v>5850000.0000000009</v>
      </c>
    </row>
    <row r="57" spans="1:12" ht="15.75" thickBot="1" x14ac:dyDescent="0.3"/>
    <row r="58" spans="1:12" ht="18.75" thickBot="1" x14ac:dyDescent="0.3">
      <c r="A58" s="400" t="s">
        <v>123</v>
      </c>
      <c r="B58" s="401"/>
      <c r="C58" s="401"/>
      <c r="D58" s="401"/>
      <c r="E58" s="401"/>
      <c r="F58" s="401"/>
      <c r="G58" s="401"/>
      <c r="H58" s="401"/>
      <c r="I58" s="401"/>
      <c r="J58" s="401"/>
      <c r="K58" s="401"/>
    </row>
    <row r="59" spans="1:12" ht="15.75" thickBot="1" x14ac:dyDescent="0.3">
      <c r="A59" s="49" t="s">
        <v>63</v>
      </c>
      <c r="B59" s="50" t="s">
        <v>64</v>
      </c>
      <c r="C59" s="50" t="s">
        <v>65</v>
      </c>
      <c r="D59" s="50" t="s">
        <v>66</v>
      </c>
      <c r="E59" s="50" t="s">
        <v>67</v>
      </c>
      <c r="F59" s="50" t="s">
        <v>94</v>
      </c>
      <c r="G59" s="50" t="s">
        <v>69</v>
      </c>
      <c r="H59" s="50" t="s">
        <v>70</v>
      </c>
      <c r="I59" s="50" t="s">
        <v>71</v>
      </c>
      <c r="J59" s="81" t="s">
        <v>72</v>
      </c>
      <c r="K59" s="51" t="s">
        <v>73</v>
      </c>
      <c r="L59" s="48">
        <v>0.14000000000000001</v>
      </c>
    </row>
    <row r="60" spans="1:12" x14ac:dyDescent="0.25">
      <c r="A60" s="71" t="s">
        <v>11</v>
      </c>
      <c r="B60" s="71" t="s">
        <v>97</v>
      </c>
      <c r="C60" s="72" t="s">
        <v>109</v>
      </c>
      <c r="D60" s="54" t="s">
        <v>110</v>
      </c>
      <c r="E60" s="79">
        <v>13440000</v>
      </c>
      <c r="F60" s="82">
        <v>1</v>
      </c>
      <c r="G60" s="82">
        <v>1</v>
      </c>
      <c r="H60" s="82">
        <v>1</v>
      </c>
      <c r="I60" s="79">
        <f>E60*F60</f>
        <v>13440000</v>
      </c>
      <c r="J60" s="83">
        <v>0</v>
      </c>
      <c r="K60" s="79">
        <f>I60-I60*J60</f>
        <v>13440000</v>
      </c>
      <c r="L60" s="29"/>
    </row>
    <row r="61" spans="1:12" ht="15.75" thickBot="1" x14ac:dyDescent="0.3">
      <c r="A61" s="71" t="s">
        <v>11</v>
      </c>
      <c r="B61" s="71" t="s">
        <v>78</v>
      </c>
      <c r="C61" s="72" t="s">
        <v>78</v>
      </c>
      <c r="D61" s="54" t="s">
        <v>111</v>
      </c>
      <c r="E61" s="79">
        <f>L61</f>
        <v>3830058</v>
      </c>
      <c r="F61" s="82">
        <v>1</v>
      </c>
      <c r="G61" s="82">
        <v>1</v>
      </c>
      <c r="H61" s="82">
        <v>1</v>
      </c>
      <c r="I61" s="79">
        <f>E61*F61</f>
        <v>3830058</v>
      </c>
      <c r="J61" s="83">
        <v>5.2369964110206522E-3</v>
      </c>
      <c r="K61" s="79">
        <f>I61-I61*J61</f>
        <v>3809999.9999999991</v>
      </c>
      <c r="L61" s="29">
        <f>3359700+(3359700*L59)</f>
        <v>3830058</v>
      </c>
    </row>
    <row r="62" spans="1:12" x14ac:dyDescent="0.25">
      <c r="A62" s="84"/>
      <c r="B62" s="84"/>
      <c r="C62" s="84"/>
      <c r="D62" s="84"/>
      <c r="E62" s="84"/>
      <c r="F62" s="84"/>
      <c r="G62" s="84"/>
      <c r="H62" s="84"/>
      <c r="I62" s="85">
        <f>SUM(I60:I61)</f>
        <v>17270058</v>
      </c>
      <c r="J62" s="86"/>
      <c r="K62" s="59">
        <f>SUM(K60:K61)</f>
        <v>17250000</v>
      </c>
    </row>
    <row r="63" spans="1:12" ht="15.75" thickBot="1" x14ac:dyDescent="0.3">
      <c r="A63" s="78"/>
      <c r="B63" s="78"/>
      <c r="C63" s="78"/>
      <c r="D63" s="78"/>
      <c r="E63" s="78"/>
      <c r="F63" s="78"/>
      <c r="G63" s="78"/>
      <c r="H63" s="78"/>
      <c r="I63" s="78"/>
      <c r="J63" s="87"/>
      <c r="K63" s="78"/>
    </row>
    <row r="64" spans="1:12" ht="18.75" thickBot="1" x14ac:dyDescent="0.3">
      <c r="A64" s="400" t="s">
        <v>124</v>
      </c>
      <c r="B64" s="401"/>
      <c r="C64" s="401"/>
      <c r="D64" s="401"/>
      <c r="E64" s="401"/>
      <c r="F64" s="401"/>
      <c r="G64" s="401"/>
      <c r="H64" s="401"/>
      <c r="I64" s="401"/>
      <c r="J64" s="401"/>
      <c r="K64" s="401"/>
    </row>
    <row r="65" spans="1:12" ht="15.75" thickBot="1" x14ac:dyDescent="0.3">
      <c r="A65" s="49" t="s">
        <v>63</v>
      </c>
      <c r="B65" s="50" t="s">
        <v>64</v>
      </c>
      <c r="C65" s="50" t="s">
        <v>65</v>
      </c>
      <c r="D65" s="50" t="s">
        <v>66</v>
      </c>
      <c r="E65" s="50" t="s">
        <v>67</v>
      </c>
      <c r="F65" s="50" t="s">
        <v>94</v>
      </c>
      <c r="G65" s="50" t="s">
        <v>69</v>
      </c>
      <c r="H65" s="50" t="s">
        <v>70</v>
      </c>
      <c r="I65" s="50" t="s">
        <v>71</v>
      </c>
      <c r="J65" s="81" t="s">
        <v>72</v>
      </c>
      <c r="K65" s="51" t="s">
        <v>73</v>
      </c>
      <c r="L65" s="48">
        <v>0.14000000000000001</v>
      </c>
    </row>
    <row r="66" spans="1:12" x14ac:dyDescent="0.25">
      <c r="A66" s="71" t="s">
        <v>11</v>
      </c>
      <c r="B66" s="71" t="s">
        <v>113</v>
      </c>
      <c r="C66" s="72" t="s">
        <v>109</v>
      </c>
      <c r="D66" s="54" t="s">
        <v>110</v>
      </c>
      <c r="E66" s="79">
        <v>13440000</v>
      </c>
      <c r="F66" s="82">
        <v>1</v>
      </c>
      <c r="G66" s="82">
        <v>1</v>
      </c>
      <c r="H66" s="82">
        <v>1</v>
      </c>
      <c r="I66" s="79">
        <f>E66*F66</f>
        <v>13440000</v>
      </c>
      <c r="J66" s="83">
        <v>0</v>
      </c>
      <c r="K66" s="79">
        <f>I66-I66*J66</f>
        <v>13440000</v>
      </c>
      <c r="L66" s="29"/>
    </row>
    <row r="67" spans="1:12" ht="15.75" thickBot="1" x14ac:dyDescent="0.3">
      <c r="A67" s="71" t="s">
        <v>11</v>
      </c>
      <c r="B67" s="71" t="s">
        <v>78</v>
      </c>
      <c r="C67" s="72" t="s">
        <v>78</v>
      </c>
      <c r="D67" s="54" t="s">
        <v>111</v>
      </c>
      <c r="E67" s="79">
        <f>L67</f>
        <v>3830058</v>
      </c>
      <c r="F67" s="82">
        <v>1</v>
      </c>
      <c r="G67" s="82">
        <v>1</v>
      </c>
      <c r="H67" s="82">
        <v>1</v>
      </c>
      <c r="I67" s="79">
        <f>E67*F67</f>
        <v>3830058</v>
      </c>
      <c r="J67" s="83">
        <v>5.2369964110206522E-3</v>
      </c>
      <c r="K67" s="79">
        <f>I67-I67*J67</f>
        <v>3809999.9999999991</v>
      </c>
      <c r="L67" s="29">
        <f>3359700+(3359700*L65)</f>
        <v>3830058</v>
      </c>
    </row>
    <row r="68" spans="1:12" x14ac:dyDescent="0.25">
      <c r="A68" s="84"/>
      <c r="B68" s="84"/>
      <c r="C68" s="84"/>
      <c r="D68" s="84"/>
      <c r="E68" s="84"/>
      <c r="F68" s="84"/>
      <c r="G68" s="84"/>
      <c r="H68" s="84"/>
      <c r="I68" s="85">
        <f>SUM(I66:I67)</f>
        <v>17270058</v>
      </c>
      <c r="J68" s="86"/>
      <c r="K68" s="59">
        <f>SUM(K66:K67)</f>
        <v>17250000</v>
      </c>
    </row>
    <row r="69" spans="1:12" ht="15.75" thickBot="1" x14ac:dyDescent="0.3">
      <c r="A69" s="78"/>
      <c r="B69" s="78"/>
      <c r="C69" s="78"/>
      <c r="D69" s="78"/>
      <c r="E69" s="78"/>
      <c r="F69" s="78"/>
      <c r="G69" s="78"/>
      <c r="H69" s="78"/>
      <c r="I69" s="78"/>
      <c r="J69" s="87"/>
      <c r="K69" s="78"/>
    </row>
    <row r="70" spans="1:12" ht="18.75" thickBot="1" x14ac:dyDescent="0.3">
      <c r="A70" s="400" t="s">
        <v>125</v>
      </c>
      <c r="B70" s="401"/>
      <c r="C70" s="401"/>
      <c r="D70" s="401"/>
      <c r="E70" s="401"/>
      <c r="F70" s="401"/>
      <c r="G70" s="401"/>
      <c r="H70" s="401"/>
      <c r="I70" s="401"/>
      <c r="J70" s="401"/>
      <c r="K70" s="401"/>
    </row>
    <row r="71" spans="1:12" ht="15.75" thickBot="1" x14ac:dyDescent="0.3">
      <c r="A71" s="49" t="s">
        <v>63</v>
      </c>
      <c r="B71" s="50" t="s">
        <v>64</v>
      </c>
      <c r="C71" s="50" t="s">
        <v>65</v>
      </c>
      <c r="D71" s="50" t="s">
        <v>66</v>
      </c>
      <c r="E71" s="50" t="s">
        <v>67</v>
      </c>
      <c r="F71" s="50" t="s">
        <v>94</v>
      </c>
      <c r="G71" s="50" t="s">
        <v>69</v>
      </c>
      <c r="H71" s="50" t="s">
        <v>70</v>
      </c>
      <c r="I71" s="50" t="s">
        <v>71</v>
      </c>
      <c r="J71" s="81" t="s">
        <v>72</v>
      </c>
      <c r="K71" s="51" t="s">
        <v>73</v>
      </c>
      <c r="L71" s="48">
        <v>0.14000000000000001</v>
      </c>
    </row>
    <row r="72" spans="1:12" x14ac:dyDescent="0.25">
      <c r="A72" s="71" t="s">
        <v>11</v>
      </c>
      <c r="B72" s="71" t="s">
        <v>115</v>
      </c>
      <c r="C72" s="72" t="s">
        <v>109</v>
      </c>
      <c r="D72" s="54" t="s">
        <v>110</v>
      </c>
      <c r="E72" s="79">
        <f>L72</f>
        <v>6927780</v>
      </c>
      <c r="F72" s="82">
        <v>1</v>
      </c>
      <c r="G72" s="82">
        <v>1</v>
      </c>
      <c r="H72" s="82">
        <v>1</v>
      </c>
      <c r="I72" s="79">
        <v>7290000</v>
      </c>
      <c r="J72" s="83">
        <v>0</v>
      </c>
      <c r="K72" s="79">
        <f>I72-I72*J72</f>
        <v>7290000</v>
      </c>
      <c r="L72" s="29">
        <f>6077000+(6077000*L71)</f>
        <v>6927780</v>
      </c>
    </row>
    <row r="73" spans="1:12" ht="15.75" thickBot="1" x14ac:dyDescent="0.3">
      <c r="A73" s="71" t="s">
        <v>11</v>
      </c>
      <c r="B73" s="71" t="s">
        <v>78</v>
      </c>
      <c r="C73" s="72" t="s">
        <v>78</v>
      </c>
      <c r="D73" s="54" t="s">
        <v>111</v>
      </c>
      <c r="E73" s="79">
        <f>L73</f>
        <v>2078334</v>
      </c>
      <c r="F73" s="82">
        <v>1</v>
      </c>
      <c r="G73" s="82">
        <v>1</v>
      </c>
      <c r="H73" s="82">
        <v>1</v>
      </c>
      <c r="I73" s="79">
        <f>E73*F73</f>
        <v>2078334</v>
      </c>
      <c r="J73" s="83">
        <v>8.8214887501239601E-3</v>
      </c>
      <c r="K73" s="79">
        <f>I73-I73*J73</f>
        <v>2059999.9999999998</v>
      </c>
      <c r="L73" s="29">
        <f>1823100+(1823100*L71)</f>
        <v>2078334</v>
      </c>
    </row>
    <row r="74" spans="1:12" x14ac:dyDescent="0.25">
      <c r="A74" s="84"/>
      <c r="B74" s="84"/>
      <c r="C74" s="84"/>
      <c r="D74" s="84"/>
      <c r="E74" s="84"/>
      <c r="F74" s="84"/>
      <c r="G74" s="84"/>
      <c r="H74" s="84"/>
      <c r="I74" s="85">
        <f>SUM(I72:I73)</f>
        <v>9368334</v>
      </c>
      <c r="J74" s="86"/>
      <c r="K74" s="59">
        <f>SUM(K72:K73)</f>
        <v>9350000</v>
      </c>
    </row>
    <row r="75" spans="1:12" ht="15.75" thickBot="1" x14ac:dyDescent="0.3">
      <c r="A75" s="78"/>
      <c r="B75" s="78"/>
      <c r="C75" s="78"/>
      <c r="D75" s="78"/>
      <c r="E75" s="78"/>
      <c r="F75" s="78"/>
      <c r="G75" s="78"/>
      <c r="H75" s="78"/>
      <c r="I75" s="78"/>
      <c r="J75" s="87"/>
      <c r="K75" s="78"/>
    </row>
    <row r="76" spans="1:12" ht="18.75" thickBot="1" x14ac:dyDescent="0.3">
      <c r="A76" s="400" t="s">
        <v>126</v>
      </c>
      <c r="B76" s="401"/>
      <c r="C76" s="401"/>
      <c r="D76" s="401"/>
      <c r="E76" s="401"/>
      <c r="F76" s="401"/>
      <c r="G76" s="401"/>
      <c r="H76" s="401"/>
      <c r="I76" s="401"/>
      <c r="J76" s="401"/>
      <c r="K76" s="401"/>
    </row>
    <row r="77" spans="1:12" ht="15.75" thickBot="1" x14ac:dyDescent="0.3">
      <c r="A77" s="49" t="s">
        <v>63</v>
      </c>
      <c r="B77" s="50" t="s">
        <v>64</v>
      </c>
      <c r="C77" s="50" t="s">
        <v>65</v>
      </c>
      <c r="D77" s="50" t="s">
        <v>66</v>
      </c>
      <c r="E77" s="50" t="s">
        <v>67</v>
      </c>
      <c r="F77" s="50" t="s">
        <v>94</v>
      </c>
      <c r="G77" s="50" t="s">
        <v>69</v>
      </c>
      <c r="H77" s="50" t="s">
        <v>70</v>
      </c>
      <c r="I77" s="50" t="s">
        <v>71</v>
      </c>
      <c r="J77" s="81" t="s">
        <v>72</v>
      </c>
      <c r="K77" s="51" t="s">
        <v>73</v>
      </c>
      <c r="L77" s="48">
        <v>0.14000000000000001</v>
      </c>
    </row>
    <row r="78" spans="1:12" x14ac:dyDescent="0.25">
      <c r="A78" s="71" t="s">
        <v>11</v>
      </c>
      <c r="B78" s="71" t="s">
        <v>122</v>
      </c>
      <c r="C78" s="72" t="s">
        <v>109</v>
      </c>
      <c r="D78" s="54" t="s">
        <v>110</v>
      </c>
      <c r="E78" s="79">
        <v>4340000</v>
      </c>
      <c r="F78" s="82">
        <v>1</v>
      </c>
      <c r="G78" s="82">
        <v>1</v>
      </c>
      <c r="H78" s="82">
        <v>1</v>
      </c>
      <c r="I78" s="79">
        <f>E78*F78</f>
        <v>4340000</v>
      </c>
      <c r="J78" s="83">
        <v>0</v>
      </c>
      <c r="K78" s="79">
        <f>I78-I78*J78</f>
        <v>4340000</v>
      </c>
      <c r="L78" s="29"/>
    </row>
    <row r="79" spans="1:12" ht="15.75" thickBot="1" x14ac:dyDescent="0.3">
      <c r="A79" s="71" t="s">
        <v>11</v>
      </c>
      <c r="B79" s="71" t="s">
        <v>78</v>
      </c>
      <c r="C79" s="72" t="s">
        <v>78</v>
      </c>
      <c r="D79" s="54" t="s">
        <v>111</v>
      </c>
      <c r="E79" s="79">
        <f>L79</f>
        <v>1236672</v>
      </c>
      <c r="F79" s="82">
        <v>1</v>
      </c>
      <c r="G79" s="82">
        <v>1</v>
      </c>
      <c r="H79" s="82">
        <v>1</v>
      </c>
      <c r="I79" s="79">
        <f>E79*F79</f>
        <v>1236672</v>
      </c>
      <c r="J79" s="83">
        <v>2.1567561972779009E-2</v>
      </c>
      <c r="K79" s="79">
        <f>I79-I79*J79</f>
        <v>1209999.9999999995</v>
      </c>
      <c r="L79" s="29">
        <f>1084800+(1084800*L77)</f>
        <v>1236672</v>
      </c>
    </row>
    <row r="80" spans="1:12" x14ac:dyDescent="0.25">
      <c r="A80" s="84"/>
      <c r="B80" s="84"/>
      <c r="C80" s="84"/>
      <c r="D80" s="84"/>
      <c r="E80" s="84"/>
      <c r="F80" s="84"/>
      <c r="G80" s="84"/>
      <c r="H80" s="84"/>
      <c r="I80" s="85">
        <f>SUM(I78:I79)</f>
        <v>5576672</v>
      </c>
      <c r="J80" s="86"/>
      <c r="K80" s="59">
        <f>SUM(K78:K79)</f>
        <v>5550000</v>
      </c>
    </row>
    <row r="81" spans="1:1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87"/>
      <c r="K81" s="78"/>
    </row>
    <row r="82" spans="1:11" ht="15.75" thickBot="1" x14ac:dyDescent="0.3"/>
    <row r="83" spans="1:11" ht="18.75" hidden="1" thickBot="1" x14ac:dyDescent="0.3">
      <c r="A83" s="431" t="s">
        <v>136</v>
      </c>
      <c r="B83" s="432"/>
      <c r="C83" s="432"/>
      <c r="D83" s="432"/>
      <c r="E83" s="432"/>
      <c r="F83" s="432"/>
      <c r="G83" s="432"/>
      <c r="H83" s="432"/>
      <c r="I83" s="432"/>
      <c r="J83" s="432"/>
      <c r="K83" s="432"/>
    </row>
    <row r="84" spans="1:11" ht="15.75" hidden="1" thickBot="1" x14ac:dyDescent="0.3">
      <c r="A84" s="105" t="s">
        <v>63</v>
      </c>
      <c r="B84" s="106" t="s">
        <v>64</v>
      </c>
      <c r="C84" s="106" t="s">
        <v>65</v>
      </c>
      <c r="D84" s="106" t="s">
        <v>66</v>
      </c>
      <c r="E84" s="106" t="s">
        <v>67</v>
      </c>
      <c r="F84" s="106" t="s">
        <v>94</v>
      </c>
      <c r="G84" s="106" t="s">
        <v>69</v>
      </c>
      <c r="H84" s="106" t="s">
        <v>70</v>
      </c>
      <c r="I84" s="106" t="s">
        <v>71</v>
      </c>
      <c r="J84" s="107" t="s">
        <v>72</v>
      </c>
      <c r="K84" s="108" t="s">
        <v>73</v>
      </c>
    </row>
    <row r="85" spans="1:11" hidden="1" x14ac:dyDescent="0.25">
      <c r="A85" s="71" t="s">
        <v>8</v>
      </c>
      <c r="B85" s="71" t="s">
        <v>75</v>
      </c>
      <c r="C85" s="109" t="s">
        <v>109</v>
      </c>
      <c r="D85" s="54" t="s">
        <v>110</v>
      </c>
      <c r="E85" s="79">
        <f>L85</f>
        <v>0</v>
      </c>
      <c r="F85" s="82">
        <v>1</v>
      </c>
      <c r="G85" s="82">
        <v>1</v>
      </c>
      <c r="H85" s="82">
        <v>1</v>
      </c>
      <c r="I85" s="79">
        <f>E85*F85</f>
        <v>0</v>
      </c>
      <c r="J85" s="83">
        <v>0</v>
      </c>
      <c r="K85" s="79">
        <f>I85-I85*J85</f>
        <v>0</v>
      </c>
    </row>
    <row r="86" spans="1:11" ht="15.75" hidden="1" thickBot="1" x14ac:dyDescent="0.3">
      <c r="A86" s="71" t="s">
        <v>8</v>
      </c>
      <c r="B86" s="71" t="s">
        <v>78</v>
      </c>
      <c r="C86" s="109" t="s">
        <v>78</v>
      </c>
      <c r="D86" s="54" t="s">
        <v>111</v>
      </c>
      <c r="E86" s="79">
        <f>L86</f>
        <v>0</v>
      </c>
      <c r="F86" s="82">
        <v>1</v>
      </c>
      <c r="G86" s="82">
        <v>1</v>
      </c>
      <c r="H86" s="82">
        <v>1</v>
      </c>
      <c r="I86" s="79">
        <f>E86*F86</f>
        <v>0</v>
      </c>
      <c r="J86" s="83">
        <v>0</v>
      </c>
      <c r="K86" s="79">
        <f>I86-I86*J86</f>
        <v>0</v>
      </c>
    </row>
    <row r="87" spans="1:11" hidden="1" x14ac:dyDescent="0.25">
      <c r="A87" s="84"/>
      <c r="B87" s="84"/>
      <c r="C87" s="84"/>
      <c r="D87" s="84"/>
      <c r="E87" s="84"/>
      <c r="F87" s="84"/>
      <c r="G87" s="84"/>
      <c r="H87" s="84"/>
      <c r="I87" s="85">
        <f>SUM(I85:I86)</f>
        <v>0</v>
      </c>
      <c r="J87" s="86"/>
      <c r="K87" s="59">
        <f>SUM(K85:K86)</f>
        <v>0</v>
      </c>
    </row>
    <row r="88" spans="1:11" ht="18.75" thickBot="1" x14ac:dyDescent="0.3">
      <c r="A88" s="429" t="s">
        <v>308</v>
      </c>
      <c r="B88" s="430"/>
      <c r="C88" s="430"/>
      <c r="D88" s="430"/>
      <c r="E88" s="430"/>
      <c r="F88" s="430"/>
      <c r="G88" s="430"/>
      <c r="H88" s="430"/>
      <c r="I88" s="430"/>
      <c r="J88" s="430"/>
      <c r="K88" s="430"/>
    </row>
    <row r="89" spans="1:11" ht="15.75" thickBot="1" x14ac:dyDescent="0.3">
      <c r="A89" s="174" t="s">
        <v>63</v>
      </c>
      <c r="B89" s="175" t="s">
        <v>64</v>
      </c>
      <c r="C89" s="175" t="s">
        <v>65</v>
      </c>
      <c r="D89" s="175" t="s">
        <v>66</v>
      </c>
      <c r="E89" s="175" t="s">
        <v>67</v>
      </c>
      <c r="F89" s="175" t="s">
        <v>94</v>
      </c>
      <c r="G89" s="175" t="s">
        <v>69</v>
      </c>
      <c r="H89" s="175" t="s">
        <v>70</v>
      </c>
      <c r="I89" s="175" t="s">
        <v>71</v>
      </c>
      <c r="J89" s="176" t="s">
        <v>72</v>
      </c>
      <c r="K89" s="177" t="s">
        <v>73</v>
      </c>
    </row>
    <row r="90" spans="1:11" x14ac:dyDescent="0.25">
      <c r="A90" s="71" t="s">
        <v>12</v>
      </c>
      <c r="B90" s="71" t="s">
        <v>97</v>
      </c>
      <c r="C90" s="178" t="s">
        <v>162</v>
      </c>
      <c r="D90" s="54" t="s">
        <v>110</v>
      </c>
      <c r="E90" s="79">
        <v>16900000</v>
      </c>
      <c r="F90" s="82">
        <v>1</v>
      </c>
      <c r="G90" s="82">
        <v>1</v>
      </c>
      <c r="H90" s="82">
        <v>1</v>
      </c>
      <c r="I90" s="79">
        <f>E90*F90</f>
        <v>16900000</v>
      </c>
      <c r="J90" s="83">
        <v>0.53</v>
      </c>
      <c r="K90" s="79">
        <f>I90-I90*J90</f>
        <v>7943000</v>
      </c>
    </row>
    <row r="91" spans="1:11" ht="15.75" thickBot="1" x14ac:dyDescent="0.3">
      <c r="A91" s="71" t="s">
        <v>12</v>
      </c>
      <c r="B91" s="71" t="s">
        <v>78</v>
      </c>
      <c r="C91" s="178" t="s">
        <v>78</v>
      </c>
      <c r="D91" s="54" t="s">
        <v>111</v>
      </c>
      <c r="E91" s="79">
        <v>8670000</v>
      </c>
      <c r="F91" s="82">
        <v>1</v>
      </c>
      <c r="G91" s="82">
        <v>1</v>
      </c>
      <c r="H91" s="82">
        <v>1</v>
      </c>
      <c r="I91" s="79">
        <f>E91*F91</f>
        <v>8670000</v>
      </c>
      <c r="J91" s="83">
        <v>0.30138408304498271</v>
      </c>
      <c r="K91" s="79">
        <f>I91-I91*J91</f>
        <v>6057000</v>
      </c>
    </row>
    <row r="92" spans="1:11" x14ac:dyDescent="0.25">
      <c r="A92" s="84"/>
      <c r="B92" s="84"/>
      <c r="C92" s="84"/>
      <c r="D92" s="84"/>
      <c r="E92" s="84"/>
      <c r="F92" s="84"/>
      <c r="G92" s="84"/>
      <c r="H92" s="84"/>
      <c r="I92" s="85">
        <f>SUM(I90:I91)</f>
        <v>25570000</v>
      </c>
      <c r="J92" s="86"/>
      <c r="K92" s="179">
        <f>SUM(K90:K91)</f>
        <v>14000000</v>
      </c>
    </row>
    <row r="94" spans="1:11" ht="15.75" thickBot="1" x14ac:dyDescent="0.3"/>
    <row r="95" spans="1:11" ht="18.75" thickBot="1" x14ac:dyDescent="0.3">
      <c r="A95" s="429" t="s">
        <v>310</v>
      </c>
      <c r="B95" s="430"/>
      <c r="C95" s="430"/>
      <c r="D95" s="430"/>
      <c r="E95" s="430"/>
      <c r="F95" s="430"/>
      <c r="G95" s="430"/>
      <c r="H95" s="430"/>
      <c r="I95" s="430"/>
      <c r="J95" s="430"/>
      <c r="K95" s="430"/>
    </row>
    <row r="96" spans="1:11" ht="15.75" thickBot="1" x14ac:dyDescent="0.3">
      <c r="A96" s="174" t="s">
        <v>63</v>
      </c>
      <c r="B96" s="175" t="s">
        <v>64</v>
      </c>
      <c r="C96" s="175" t="s">
        <v>65</v>
      </c>
      <c r="D96" s="175" t="s">
        <v>66</v>
      </c>
      <c r="E96" s="175" t="s">
        <v>67</v>
      </c>
      <c r="F96" s="175" t="s">
        <v>94</v>
      </c>
      <c r="G96" s="175" t="s">
        <v>69</v>
      </c>
      <c r="H96" s="175" t="s">
        <v>70</v>
      </c>
      <c r="I96" s="175" t="s">
        <v>71</v>
      </c>
      <c r="J96" s="176" t="s">
        <v>72</v>
      </c>
      <c r="K96" s="177" t="s">
        <v>73</v>
      </c>
    </row>
    <row r="97" spans="1:11" x14ac:dyDescent="0.25">
      <c r="A97" s="71" t="s">
        <v>12</v>
      </c>
      <c r="B97" s="71" t="s">
        <v>97</v>
      </c>
      <c r="C97" s="178" t="s">
        <v>162</v>
      </c>
      <c r="D97" s="54" t="s">
        <v>110</v>
      </c>
      <c r="E97" s="79">
        <v>28900000</v>
      </c>
      <c r="F97" s="82">
        <v>1</v>
      </c>
      <c r="G97" s="82">
        <v>1</v>
      </c>
      <c r="H97" s="82">
        <v>1</v>
      </c>
      <c r="I97" s="79">
        <f>E97*F97</f>
        <v>28900000</v>
      </c>
      <c r="J97" s="83">
        <v>0.53356401384083041</v>
      </c>
      <c r="K97" s="79">
        <f>I97-I97*J97</f>
        <v>13480000.000000002</v>
      </c>
    </row>
    <row r="98" spans="1:11" ht="15.75" thickBot="1" x14ac:dyDescent="0.3">
      <c r="A98" s="71" t="s">
        <v>12</v>
      </c>
      <c r="B98" s="71" t="s">
        <v>78</v>
      </c>
      <c r="C98" s="178" t="s">
        <v>78</v>
      </c>
      <c r="D98" s="54" t="s">
        <v>111</v>
      </c>
      <c r="E98" s="79">
        <f>E97*30%</f>
        <v>8670000</v>
      </c>
      <c r="F98" s="82">
        <v>1</v>
      </c>
      <c r="G98" s="82">
        <v>1</v>
      </c>
      <c r="H98" s="82">
        <v>1</v>
      </c>
      <c r="I98" s="79">
        <f>E98*F98</f>
        <v>8670000</v>
      </c>
      <c r="J98" s="83">
        <v>0</v>
      </c>
      <c r="K98" s="79">
        <f>I98-I98*J98</f>
        <v>8670000</v>
      </c>
    </row>
    <row r="99" spans="1:11" x14ac:dyDescent="0.25">
      <c r="A99" s="84"/>
      <c r="B99" s="84"/>
      <c r="C99" s="84"/>
      <c r="D99" s="84"/>
      <c r="E99" s="84"/>
      <c r="F99" s="84"/>
      <c r="G99" s="84"/>
      <c r="H99" s="84"/>
      <c r="I99" s="85">
        <f>SUM(I97:I98)</f>
        <v>37570000</v>
      </c>
      <c r="J99" s="86"/>
      <c r="K99" s="179">
        <f>SUM(K97:K98)</f>
        <v>22150000</v>
      </c>
    </row>
    <row r="101" spans="1:11" ht="15.75" thickBot="1" x14ac:dyDescent="0.3"/>
    <row r="102" spans="1:11" ht="18.75" thickBot="1" x14ac:dyDescent="0.3">
      <c r="A102" s="429" t="s">
        <v>312</v>
      </c>
      <c r="B102" s="430"/>
      <c r="C102" s="430"/>
      <c r="D102" s="430"/>
      <c r="E102" s="430"/>
      <c r="F102" s="430"/>
      <c r="G102" s="430"/>
      <c r="H102" s="430"/>
      <c r="I102" s="430"/>
      <c r="J102" s="430"/>
      <c r="K102" s="430"/>
    </row>
    <row r="103" spans="1:11" ht="15.75" thickBot="1" x14ac:dyDescent="0.3">
      <c r="A103" s="174" t="s">
        <v>63</v>
      </c>
      <c r="B103" s="175" t="s">
        <v>64</v>
      </c>
      <c r="C103" s="175" t="s">
        <v>65</v>
      </c>
      <c r="D103" s="175" t="s">
        <v>66</v>
      </c>
      <c r="E103" s="175" t="s">
        <v>67</v>
      </c>
      <c r="F103" s="175" t="s">
        <v>94</v>
      </c>
      <c r="G103" s="175" t="s">
        <v>69</v>
      </c>
      <c r="H103" s="175" t="s">
        <v>70</v>
      </c>
      <c r="I103" s="175" t="s">
        <v>71</v>
      </c>
      <c r="J103" s="176" t="s">
        <v>72</v>
      </c>
      <c r="K103" s="177" t="s">
        <v>73</v>
      </c>
    </row>
    <row r="104" spans="1:11" x14ac:dyDescent="0.25">
      <c r="A104" s="71" t="s">
        <v>12</v>
      </c>
      <c r="B104" s="71" t="s">
        <v>97</v>
      </c>
      <c r="C104" s="178" t="s">
        <v>162</v>
      </c>
      <c r="D104" s="54" t="s">
        <v>110</v>
      </c>
      <c r="E104" s="79">
        <v>28900000</v>
      </c>
      <c r="F104" s="82">
        <v>1</v>
      </c>
      <c r="G104" s="82">
        <v>1</v>
      </c>
      <c r="H104" s="82">
        <v>1</v>
      </c>
      <c r="I104" s="79">
        <f>E104*F104</f>
        <v>28900000</v>
      </c>
      <c r="J104" s="83">
        <v>0.37958477508650518</v>
      </c>
      <c r="K104" s="79">
        <f>I104-I104*J104</f>
        <v>17930000</v>
      </c>
    </row>
    <row r="105" spans="1:11" ht="15.75" thickBot="1" x14ac:dyDescent="0.3">
      <c r="A105" s="71" t="s">
        <v>12</v>
      </c>
      <c r="B105" s="71" t="s">
        <v>78</v>
      </c>
      <c r="C105" s="178" t="s">
        <v>78</v>
      </c>
      <c r="D105" s="54" t="s">
        <v>111</v>
      </c>
      <c r="E105" s="79">
        <f>E104*30%</f>
        <v>8670000</v>
      </c>
      <c r="F105" s="82">
        <v>1</v>
      </c>
      <c r="G105" s="82">
        <v>1</v>
      </c>
      <c r="H105" s="82">
        <v>1</v>
      </c>
      <c r="I105" s="79">
        <f>E105*F105</f>
        <v>8670000</v>
      </c>
      <c r="J105" s="83">
        <v>0</v>
      </c>
      <c r="K105" s="79">
        <f>I105-I105*J105</f>
        <v>8670000</v>
      </c>
    </row>
    <row r="106" spans="1:11" x14ac:dyDescent="0.25">
      <c r="A106" s="84"/>
      <c r="B106" s="84"/>
      <c r="C106" s="84"/>
      <c r="D106" s="84"/>
      <c r="E106" s="84"/>
      <c r="F106" s="84"/>
      <c r="G106" s="84"/>
      <c r="H106" s="84"/>
      <c r="I106" s="85">
        <f>SUM(I104:I105)</f>
        <v>37570000</v>
      </c>
      <c r="J106" s="86"/>
      <c r="K106" s="179">
        <f>SUM(K104:K105)</f>
        <v>26600000</v>
      </c>
    </row>
  </sheetData>
  <mergeCells count="19">
    <mergeCell ref="A58:K58"/>
    <mergeCell ref="A88:K88"/>
    <mergeCell ref="A95:K95"/>
    <mergeCell ref="A102:K102"/>
    <mergeCell ref="A20:K20"/>
    <mergeCell ref="A64:K64"/>
    <mergeCell ref="A70:K70"/>
    <mergeCell ref="A76:K76"/>
    <mergeCell ref="A83:K83"/>
    <mergeCell ref="A26:K26"/>
    <mergeCell ref="A33:K33"/>
    <mergeCell ref="A39:K39"/>
    <mergeCell ref="A45:K45"/>
    <mergeCell ref="A51:K51"/>
    <mergeCell ref="A1:K1"/>
    <mergeCell ref="J6:K6"/>
    <mergeCell ref="A7:K7"/>
    <mergeCell ref="J12:K12"/>
    <mergeCell ref="A13:K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E7FA-F9B3-4C3B-9DE1-5D94F6FD275D}">
  <dimension ref="B4:I41"/>
  <sheetViews>
    <sheetView showGridLines="0" topLeftCell="A31" workbookViewId="0">
      <selection activeCell="B39" sqref="B39"/>
    </sheetView>
  </sheetViews>
  <sheetFormatPr baseColWidth="10" defaultRowHeight="15" x14ac:dyDescent="0.25"/>
  <cols>
    <col min="1" max="1" width="11.42578125" style="141"/>
    <col min="2" max="2" width="23" style="141" customWidth="1"/>
    <col min="3" max="3" width="14.5703125" style="141" bestFit="1" customWidth="1"/>
    <col min="4" max="4" width="10.42578125" style="141" customWidth="1"/>
    <col min="5" max="5" width="14.140625" style="141" customWidth="1"/>
    <col min="6" max="6" width="11.42578125" style="141"/>
    <col min="7" max="7" width="15.28515625" style="141" customWidth="1"/>
    <col min="8" max="8" width="12" style="141" bestFit="1" customWidth="1"/>
    <col min="9" max="16384" width="11.42578125" style="141"/>
  </cols>
  <sheetData>
    <row r="4" spans="2:9" x14ac:dyDescent="0.25">
      <c r="C4" s="433" t="s">
        <v>205</v>
      </c>
      <c r="D4" s="433"/>
      <c r="E4" s="433"/>
      <c r="F4" s="433"/>
      <c r="G4" s="433"/>
      <c r="H4" s="433"/>
    </row>
    <row r="6" spans="2:9" x14ac:dyDescent="0.25">
      <c r="B6" s="270" t="s">
        <v>205</v>
      </c>
      <c r="C6" s="271"/>
      <c r="D6" s="271"/>
      <c r="E6" s="272" t="s">
        <v>10</v>
      </c>
      <c r="F6" s="272" t="s">
        <v>11</v>
      </c>
      <c r="G6" s="272" t="s">
        <v>12</v>
      </c>
      <c r="H6" s="272" t="s">
        <v>13</v>
      </c>
    </row>
    <row r="7" spans="2:9" ht="38.25" x14ac:dyDescent="0.25">
      <c r="B7" s="273" t="s">
        <v>416</v>
      </c>
      <c r="C7" s="273" t="s">
        <v>417</v>
      </c>
      <c r="D7" s="273" t="s">
        <v>418</v>
      </c>
      <c r="E7" s="274">
        <v>1380000</v>
      </c>
      <c r="F7" s="274">
        <v>1220000</v>
      </c>
      <c r="G7" s="274">
        <v>1440000</v>
      </c>
      <c r="H7" s="274">
        <v>2980000</v>
      </c>
    </row>
    <row r="8" spans="2:9" ht="27.75" thickBot="1" x14ac:dyDescent="0.3">
      <c r="B8" s="275" t="s">
        <v>419</v>
      </c>
      <c r="C8" s="276" t="s">
        <v>5</v>
      </c>
      <c r="D8" s="276" t="s">
        <v>62</v>
      </c>
      <c r="E8" s="277">
        <v>414000</v>
      </c>
      <c r="F8" s="277">
        <v>366000</v>
      </c>
      <c r="G8" s="277">
        <v>432000</v>
      </c>
      <c r="H8" s="277">
        <v>894000</v>
      </c>
    </row>
    <row r="9" spans="2:9" ht="27.75" thickBot="1" x14ac:dyDescent="0.3">
      <c r="B9" s="275" t="s">
        <v>420</v>
      </c>
      <c r="C9" s="276" t="s">
        <v>421</v>
      </c>
      <c r="D9" s="276" t="s">
        <v>62</v>
      </c>
      <c r="E9" s="277">
        <v>759000</v>
      </c>
      <c r="F9" s="277">
        <v>671000</v>
      </c>
      <c r="G9" s="277">
        <v>792000</v>
      </c>
      <c r="H9" s="277">
        <v>1639000</v>
      </c>
    </row>
    <row r="10" spans="2:9" ht="27.75" thickBot="1" x14ac:dyDescent="0.3">
      <c r="B10" s="275" t="s">
        <v>422</v>
      </c>
      <c r="C10" s="276" t="s">
        <v>163</v>
      </c>
      <c r="D10" s="276" t="s">
        <v>423</v>
      </c>
      <c r="E10" s="277">
        <v>207000</v>
      </c>
      <c r="F10" s="277">
        <v>183000</v>
      </c>
      <c r="G10" s="277">
        <v>216000</v>
      </c>
      <c r="H10" s="277">
        <v>447000</v>
      </c>
    </row>
    <row r="14" spans="2:9" x14ac:dyDescent="0.25">
      <c r="C14" s="433" t="s">
        <v>204</v>
      </c>
      <c r="D14" s="433"/>
      <c r="E14" s="433"/>
      <c r="F14" s="433"/>
      <c r="G14" s="433"/>
      <c r="H14" s="433"/>
      <c r="I14" s="433"/>
    </row>
    <row r="15" spans="2:9" ht="30" customHeight="1" x14ac:dyDescent="0.25">
      <c r="C15" s="167" t="s">
        <v>197</v>
      </c>
      <c r="D15" s="168" t="s">
        <v>200</v>
      </c>
      <c r="E15" s="167" t="s">
        <v>198</v>
      </c>
      <c r="F15" s="167" t="s">
        <v>201</v>
      </c>
      <c r="G15" s="167" t="s">
        <v>199</v>
      </c>
      <c r="H15" s="167" t="s">
        <v>202</v>
      </c>
      <c r="I15" s="167" t="s">
        <v>203</v>
      </c>
    </row>
    <row r="16" spans="2:9" x14ac:dyDescent="0.2">
      <c r="B16" s="434" t="s">
        <v>13</v>
      </c>
      <c r="C16" s="40">
        <v>4400000</v>
      </c>
      <c r="D16" s="41">
        <v>3</v>
      </c>
      <c r="E16" s="41">
        <v>11</v>
      </c>
      <c r="F16" s="40">
        <f>D16*E16</f>
        <v>33</v>
      </c>
      <c r="G16" s="40">
        <f>E16*C16</f>
        <v>48400000</v>
      </c>
      <c r="H16" s="42">
        <v>0.2</v>
      </c>
      <c r="I16" s="40">
        <f>G16-(G16*H16)</f>
        <v>38720000</v>
      </c>
    </row>
    <row r="17" spans="2:9" x14ac:dyDescent="0.2">
      <c r="B17" s="434"/>
      <c r="C17" s="169">
        <v>4400000</v>
      </c>
      <c r="D17" s="170">
        <v>1</v>
      </c>
      <c r="E17" s="170">
        <v>1</v>
      </c>
      <c r="F17" s="169">
        <v>3</v>
      </c>
      <c r="G17" s="169">
        <f>E17*C17</f>
        <v>4400000</v>
      </c>
      <c r="H17" s="171">
        <v>0</v>
      </c>
      <c r="I17" s="169">
        <f>G17-(G17*H17)</f>
        <v>4400000</v>
      </c>
    </row>
    <row r="18" spans="2:9" x14ac:dyDescent="0.2">
      <c r="B18" s="434" t="s">
        <v>225</v>
      </c>
      <c r="C18" s="40">
        <v>2400000</v>
      </c>
      <c r="D18" s="41">
        <v>3</v>
      </c>
      <c r="E18" s="41">
        <v>11</v>
      </c>
      <c r="F18" s="40">
        <f>D18*E18</f>
        <v>33</v>
      </c>
      <c r="G18" s="40">
        <f>E18*C18</f>
        <v>26400000</v>
      </c>
      <c r="H18" s="42">
        <v>0.2</v>
      </c>
      <c r="I18" s="40">
        <f>G18-(G18*H18)</f>
        <v>21120000</v>
      </c>
    </row>
    <row r="19" spans="2:9" x14ac:dyDescent="0.2">
      <c r="B19" s="434"/>
      <c r="C19" s="169">
        <v>2400000</v>
      </c>
      <c r="D19" s="170">
        <v>1</v>
      </c>
      <c r="E19" s="170">
        <v>1</v>
      </c>
      <c r="F19" s="169">
        <v>3</v>
      </c>
      <c r="G19" s="169">
        <f>E19*C19</f>
        <v>2400000</v>
      </c>
      <c r="H19" s="171">
        <v>0</v>
      </c>
      <c r="I19" s="169">
        <f>G19-(G19*H19)</f>
        <v>2400000</v>
      </c>
    </row>
    <row r="20" spans="2:9" hidden="1" x14ac:dyDescent="0.2">
      <c r="C20" s="40">
        <v>4400000</v>
      </c>
      <c r="D20" s="41">
        <v>1</v>
      </c>
      <c r="E20" s="41">
        <v>11</v>
      </c>
      <c r="F20" s="40">
        <f t="shared" ref="F20" si="0">D20*E20</f>
        <v>11</v>
      </c>
      <c r="G20" s="40">
        <f>F20*C20</f>
        <v>48400000</v>
      </c>
      <c r="H20" s="42">
        <v>0.2</v>
      </c>
      <c r="I20" s="40">
        <f t="shared" ref="I20" si="1">G20-(G20*H20)</f>
        <v>38720000</v>
      </c>
    </row>
    <row r="21" spans="2:9" ht="75" x14ac:dyDescent="0.25">
      <c r="B21" s="180" t="s">
        <v>424</v>
      </c>
      <c r="C21" s="181">
        <v>2400000</v>
      </c>
      <c r="D21" s="182">
        <v>3</v>
      </c>
      <c r="E21" s="182">
        <v>11</v>
      </c>
      <c r="F21" s="181">
        <f>D21*E21</f>
        <v>33</v>
      </c>
      <c r="G21" s="181">
        <f>E21*C21</f>
        <v>26400000</v>
      </c>
      <c r="H21" s="183">
        <v>0.2</v>
      </c>
      <c r="I21" s="181">
        <f>G21-(G21*H21)</f>
        <v>21120000</v>
      </c>
    </row>
    <row r="24" spans="2:9" x14ac:dyDescent="0.25">
      <c r="B24" s="278" t="s">
        <v>425</v>
      </c>
      <c r="C24" s="75"/>
      <c r="D24" s="75"/>
      <c r="E24" s="279" t="s">
        <v>10</v>
      </c>
      <c r="F24" s="279" t="s">
        <v>11</v>
      </c>
      <c r="G24" s="279" t="s">
        <v>12</v>
      </c>
      <c r="H24" s="279" t="s">
        <v>13</v>
      </c>
      <c r="I24" s="279" t="s">
        <v>428</v>
      </c>
    </row>
    <row r="25" spans="2:9" ht="38.25" x14ac:dyDescent="0.25">
      <c r="B25" s="280" t="s">
        <v>426</v>
      </c>
      <c r="C25" s="435" t="s">
        <v>417</v>
      </c>
      <c r="D25" s="435" t="s">
        <v>418</v>
      </c>
      <c r="E25" s="437">
        <v>2400000</v>
      </c>
      <c r="F25" s="437">
        <v>2400000</v>
      </c>
      <c r="G25" s="437">
        <v>2400000</v>
      </c>
      <c r="H25" s="437">
        <v>4400000</v>
      </c>
      <c r="I25" s="437">
        <v>2400000</v>
      </c>
    </row>
    <row r="26" spans="2:9" x14ac:dyDescent="0.25">
      <c r="B26" s="281" t="s">
        <v>427</v>
      </c>
      <c r="C26" s="436"/>
      <c r="D26" s="436"/>
      <c r="E26" s="438"/>
      <c r="F26" s="438"/>
      <c r="G26" s="438"/>
      <c r="H26" s="438"/>
      <c r="I26" s="438"/>
    </row>
    <row r="27" spans="2:9" ht="27.75" thickBot="1" x14ac:dyDescent="0.3">
      <c r="B27" s="275" t="s">
        <v>419</v>
      </c>
      <c r="C27" s="276" t="s">
        <v>5</v>
      </c>
      <c r="D27" s="276" t="s">
        <v>62</v>
      </c>
      <c r="E27" s="277">
        <v>720000</v>
      </c>
      <c r="F27" s="277">
        <v>720000</v>
      </c>
      <c r="G27" s="277">
        <v>720000</v>
      </c>
      <c r="H27" s="277">
        <v>1320000</v>
      </c>
      <c r="I27" s="277">
        <v>720000</v>
      </c>
    </row>
    <row r="28" spans="2:9" ht="27.75" thickBot="1" x14ac:dyDescent="0.3">
      <c r="B28" s="275" t="s">
        <v>420</v>
      </c>
      <c r="C28" s="276" t="s">
        <v>421</v>
      </c>
      <c r="D28" s="276" t="s">
        <v>62</v>
      </c>
      <c r="E28" s="277">
        <v>1680000</v>
      </c>
      <c r="F28" s="277">
        <v>1680000</v>
      </c>
      <c r="G28" s="277">
        <v>1680000</v>
      </c>
      <c r="H28" s="277">
        <v>3080000</v>
      </c>
      <c r="I28" s="277">
        <v>1680000</v>
      </c>
    </row>
    <row r="31" spans="2:9" x14ac:dyDescent="0.25">
      <c r="B31" s="278" t="s">
        <v>429</v>
      </c>
      <c r="C31" s="75"/>
      <c r="D31" s="75"/>
      <c r="E31" s="279" t="s">
        <v>10</v>
      </c>
      <c r="F31" s="279" t="s">
        <v>11</v>
      </c>
      <c r="G31" s="279" t="s">
        <v>12</v>
      </c>
      <c r="H31" s="279" t="s">
        <v>13</v>
      </c>
    </row>
    <row r="32" spans="2:9" ht="25.5" x14ac:dyDescent="0.25">
      <c r="B32" s="282" t="s">
        <v>430</v>
      </c>
      <c r="C32" s="273" t="s">
        <v>417</v>
      </c>
      <c r="D32" s="273" t="s">
        <v>418</v>
      </c>
      <c r="E32" s="274">
        <v>1656000</v>
      </c>
      <c r="F32" s="274">
        <v>1464000</v>
      </c>
      <c r="G32" s="274">
        <v>1728000</v>
      </c>
      <c r="H32" s="274">
        <v>3576000</v>
      </c>
    </row>
    <row r="33" spans="2:8" ht="27.75" thickBot="1" x14ac:dyDescent="0.3">
      <c r="B33" s="275" t="s">
        <v>419</v>
      </c>
      <c r="C33" s="276" t="s">
        <v>5</v>
      </c>
      <c r="D33" s="276" t="s">
        <v>62</v>
      </c>
      <c r="E33" s="277">
        <v>496800</v>
      </c>
      <c r="F33" s="277">
        <v>439200</v>
      </c>
      <c r="G33" s="277">
        <v>518400</v>
      </c>
      <c r="H33" s="277">
        <v>1072800</v>
      </c>
    </row>
    <row r="34" spans="2:8" ht="27.75" thickBot="1" x14ac:dyDescent="0.3">
      <c r="B34" s="275" t="s">
        <v>420</v>
      </c>
      <c r="C34" s="276" t="s">
        <v>421</v>
      </c>
      <c r="D34" s="276" t="s">
        <v>62</v>
      </c>
      <c r="E34" s="277">
        <v>1159200</v>
      </c>
      <c r="F34" s="277">
        <v>1024800</v>
      </c>
      <c r="G34" s="277">
        <v>1209600</v>
      </c>
      <c r="H34" s="277">
        <v>2503200</v>
      </c>
    </row>
    <row r="38" spans="2:8" x14ac:dyDescent="0.25">
      <c r="B38" s="278" t="s">
        <v>431</v>
      </c>
      <c r="C38" s="75"/>
      <c r="D38" s="75"/>
      <c r="E38" s="279" t="s">
        <v>10</v>
      </c>
      <c r="F38" s="279" t="s">
        <v>11</v>
      </c>
      <c r="G38" s="279" t="s">
        <v>12</v>
      </c>
      <c r="H38" s="279" t="s">
        <v>13</v>
      </c>
    </row>
    <row r="39" spans="2:8" ht="25.5" x14ac:dyDescent="0.25">
      <c r="B39" s="282" t="s">
        <v>432</v>
      </c>
      <c r="C39" s="273" t="s">
        <v>417</v>
      </c>
      <c r="D39" s="273" t="s">
        <v>418</v>
      </c>
      <c r="E39" s="274">
        <v>4056000</v>
      </c>
      <c r="F39" s="274">
        <v>3864000</v>
      </c>
      <c r="G39" s="274">
        <v>4128000</v>
      </c>
      <c r="H39" s="274">
        <v>7976000</v>
      </c>
    </row>
    <row r="40" spans="2:8" ht="27.75" thickBot="1" x14ac:dyDescent="0.3">
      <c r="B40" s="275" t="s">
        <v>419</v>
      </c>
      <c r="C40" s="276" t="s">
        <v>5</v>
      </c>
      <c r="D40" s="276" t="s">
        <v>62</v>
      </c>
      <c r="E40" s="277">
        <v>1216800</v>
      </c>
      <c r="F40" s="277">
        <v>1159200</v>
      </c>
      <c r="G40" s="277">
        <v>1238400</v>
      </c>
      <c r="H40" s="277">
        <v>2392800</v>
      </c>
    </row>
    <row r="41" spans="2:8" ht="27.75" thickBot="1" x14ac:dyDescent="0.3">
      <c r="B41" s="275" t="s">
        <v>420</v>
      </c>
      <c r="C41" s="276" t="s">
        <v>421</v>
      </c>
      <c r="D41" s="276" t="s">
        <v>62</v>
      </c>
      <c r="E41" s="277">
        <v>2839200</v>
      </c>
      <c r="F41" s="277">
        <v>2704800</v>
      </c>
      <c r="G41" s="277">
        <v>2889600</v>
      </c>
      <c r="H41" s="277">
        <v>5583200</v>
      </c>
    </row>
  </sheetData>
  <mergeCells count="11">
    <mergeCell ref="C4:H4"/>
    <mergeCell ref="C14:I14"/>
    <mergeCell ref="B16:B17"/>
    <mergeCell ref="B18:B19"/>
    <mergeCell ref="C25:C26"/>
    <mergeCell ref="D25:D26"/>
    <mergeCell ref="E25:E26"/>
    <mergeCell ref="F25:F26"/>
    <mergeCell ref="G25:G26"/>
    <mergeCell ref="H25:H26"/>
    <mergeCell ref="I25:I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D5ED-599C-4965-B8CD-F1B334F7C2DA}">
  <dimension ref="A1:M62"/>
  <sheetViews>
    <sheetView showGridLines="0" topLeftCell="A12" workbookViewId="0">
      <selection activeCell="K62" sqref="K62"/>
    </sheetView>
  </sheetViews>
  <sheetFormatPr baseColWidth="10" defaultRowHeight="15" x14ac:dyDescent="0.25"/>
  <cols>
    <col min="1" max="1" width="18.28515625" customWidth="1"/>
    <col min="2" max="2" width="15.85546875" customWidth="1"/>
    <col min="3" max="3" width="16.28515625" customWidth="1"/>
    <col min="4" max="4" width="24.5703125" customWidth="1"/>
  </cols>
  <sheetData>
    <row r="1" spans="1:13" ht="15.75" thickBot="1" x14ac:dyDescent="0.3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24" thickBot="1" x14ac:dyDescent="0.3">
      <c r="A2" s="444" t="s">
        <v>381</v>
      </c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78"/>
      <c r="M2" s="78"/>
    </row>
    <row r="3" spans="1:13" ht="16.5" thickBot="1" x14ac:dyDescent="0.3">
      <c r="A3" s="441" t="s">
        <v>382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78"/>
      <c r="M3" s="78"/>
    </row>
    <row r="4" spans="1:13" ht="15.75" thickBot="1" x14ac:dyDescent="0.3">
      <c r="A4" s="218" t="s">
        <v>63</v>
      </c>
      <c r="B4" s="219" t="s">
        <v>64</v>
      </c>
      <c r="C4" s="219" t="s">
        <v>65</v>
      </c>
      <c r="D4" s="219" t="s">
        <v>66</v>
      </c>
      <c r="E4" s="219" t="s">
        <v>67</v>
      </c>
      <c r="F4" s="219" t="s">
        <v>94</v>
      </c>
      <c r="G4" s="219" t="s">
        <v>69</v>
      </c>
      <c r="H4" s="219" t="s">
        <v>70</v>
      </c>
      <c r="I4" s="219" t="s">
        <v>71</v>
      </c>
      <c r="J4" s="219" t="s">
        <v>72</v>
      </c>
      <c r="K4" s="220" t="s">
        <v>73</v>
      </c>
      <c r="L4" s="78"/>
      <c r="M4" s="78"/>
    </row>
    <row r="5" spans="1:13" x14ac:dyDescent="0.25">
      <c r="A5" s="221" t="s">
        <v>74</v>
      </c>
      <c r="B5" s="222" t="s">
        <v>75</v>
      </c>
      <c r="C5" s="223" t="s">
        <v>383</v>
      </c>
      <c r="D5" s="224" t="s">
        <v>384</v>
      </c>
      <c r="E5" s="53">
        <v>12828000</v>
      </c>
      <c r="F5" s="225">
        <v>1</v>
      </c>
      <c r="G5" s="225">
        <v>1</v>
      </c>
      <c r="H5" s="225">
        <v>1</v>
      </c>
      <c r="I5" s="226">
        <v>12828000</v>
      </c>
      <c r="J5" s="227">
        <v>0.47</v>
      </c>
      <c r="K5" s="226">
        <v>6860000</v>
      </c>
      <c r="L5" s="78"/>
      <c r="M5" s="78"/>
    </row>
    <row r="6" spans="1:13" x14ac:dyDescent="0.25">
      <c r="A6" s="71" t="s">
        <v>74</v>
      </c>
      <c r="B6" s="71" t="s">
        <v>78</v>
      </c>
      <c r="C6" s="72" t="s">
        <v>78</v>
      </c>
      <c r="D6" s="224" t="s">
        <v>385</v>
      </c>
      <c r="E6" s="53">
        <v>12000000</v>
      </c>
      <c r="F6" s="225">
        <v>1</v>
      </c>
      <c r="G6" s="225">
        <v>1</v>
      </c>
      <c r="H6" s="225">
        <v>1</v>
      </c>
      <c r="I6" s="226">
        <v>12000000</v>
      </c>
      <c r="J6" s="227">
        <v>0.47</v>
      </c>
      <c r="K6" s="226">
        <v>6420000</v>
      </c>
      <c r="L6" s="78"/>
      <c r="M6" s="78"/>
    </row>
    <row r="7" spans="1:13" x14ac:dyDescent="0.25">
      <c r="A7" s="71" t="s">
        <v>74</v>
      </c>
      <c r="B7" s="71" t="s">
        <v>78</v>
      </c>
      <c r="C7" s="72" t="s">
        <v>78</v>
      </c>
      <c r="D7" s="54" t="s">
        <v>386</v>
      </c>
      <c r="E7" s="53">
        <v>2280000</v>
      </c>
      <c r="F7" s="52">
        <v>1</v>
      </c>
      <c r="G7" s="52">
        <v>1</v>
      </c>
      <c r="H7" s="52">
        <v>1</v>
      </c>
      <c r="I7" s="53">
        <v>2280000</v>
      </c>
      <c r="J7" s="228">
        <v>0</v>
      </c>
      <c r="K7" s="53">
        <v>2280000</v>
      </c>
      <c r="L7" s="78"/>
      <c r="M7" s="78"/>
    </row>
    <row r="8" spans="1:13" x14ac:dyDescent="0.25">
      <c r="A8" s="229" t="s">
        <v>74</v>
      </c>
      <c r="B8" s="230" t="s">
        <v>78</v>
      </c>
      <c r="C8" s="231" t="s">
        <v>78</v>
      </c>
      <c r="D8" s="232" t="s">
        <v>387</v>
      </c>
      <c r="E8" s="233">
        <v>11000000</v>
      </c>
      <c r="F8" s="234">
        <v>1</v>
      </c>
      <c r="G8" s="234">
        <v>1</v>
      </c>
      <c r="H8" s="234">
        <v>1</v>
      </c>
      <c r="I8" s="226">
        <v>11000000</v>
      </c>
      <c r="J8" s="235">
        <v>0.46</v>
      </c>
      <c r="K8" s="226">
        <v>5940000</v>
      </c>
      <c r="L8" s="78"/>
      <c r="M8" s="78"/>
    </row>
    <row r="9" spans="1:13" x14ac:dyDescent="0.25">
      <c r="A9" s="229" t="s">
        <v>74</v>
      </c>
      <c r="B9" s="230" t="s">
        <v>78</v>
      </c>
      <c r="C9" s="231" t="s">
        <v>78</v>
      </c>
      <c r="D9" s="54" t="s">
        <v>80</v>
      </c>
      <c r="E9" s="53">
        <v>9000000</v>
      </c>
      <c r="F9" s="234">
        <v>1</v>
      </c>
      <c r="G9" s="234">
        <v>1</v>
      </c>
      <c r="H9" s="234">
        <v>1</v>
      </c>
      <c r="I9" s="226">
        <v>9000000</v>
      </c>
      <c r="J9" s="235">
        <v>0.46</v>
      </c>
      <c r="K9" s="226">
        <v>4842000</v>
      </c>
      <c r="L9" s="78"/>
      <c r="M9" s="78"/>
    </row>
    <row r="10" spans="1:13" ht="15.75" thickBot="1" x14ac:dyDescent="0.3">
      <c r="A10" s="229" t="s">
        <v>74</v>
      </c>
      <c r="B10" s="230" t="s">
        <v>78</v>
      </c>
      <c r="C10" s="231" t="s">
        <v>78</v>
      </c>
      <c r="D10" s="54" t="s">
        <v>81</v>
      </c>
      <c r="E10" s="53">
        <v>15100000</v>
      </c>
      <c r="F10" s="234">
        <v>1</v>
      </c>
      <c r="G10" s="234">
        <v>1</v>
      </c>
      <c r="H10" s="234">
        <v>1</v>
      </c>
      <c r="I10" s="226">
        <v>15100000</v>
      </c>
      <c r="J10" s="235">
        <v>0.46</v>
      </c>
      <c r="K10" s="226">
        <v>8154000</v>
      </c>
      <c r="L10" s="78"/>
      <c r="M10" s="78"/>
    </row>
    <row r="11" spans="1:13" ht="15.75" x14ac:dyDescent="0.25">
      <c r="A11" s="57"/>
      <c r="B11" s="57"/>
      <c r="C11" s="57"/>
      <c r="D11" s="57"/>
      <c r="E11" s="57"/>
      <c r="F11" s="57"/>
      <c r="G11" s="57"/>
      <c r="H11" s="57"/>
      <c r="I11" s="236">
        <v>23840000</v>
      </c>
      <c r="J11" s="57"/>
      <c r="K11" s="59">
        <v>34496000</v>
      </c>
      <c r="L11" s="78"/>
      <c r="M11" s="78"/>
    </row>
    <row r="12" spans="1:13" x14ac:dyDescent="0.25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>
        <v>34500</v>
      </c>
      <c r="L12" s="78"/>
      <c r="M12" s="78"/>
    </row>
    <row r="13" spans="1:13" ht="15.75" thickBot="1" x14ac:dyDescent="0.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1:13" ht="24" thickBot="1" x14ac:dyDescent="0.4">
      <c r="A14" s="446" t="s">
        <v>388</v>
      </c>
      <c r="B14" s="447"/>
      <c r="C14" s="447"/>
      <c r="D14" s="447"/>
      <c r="E14" s="447"/>
      <c r="F14" s="447"/>
      <c r="G14" s="447"/>
      <c r="H14" s="447"/>
      <c r="I14" s="447"/>
      <c r="J14" s="447"/>
      <c r="K14" s="447"/>
      <c r="L14" s="78"/>
      <c r="M14" s="78"/>
    </row>
    <row r="15" spans="1:13" ht="16.5" thickBot="1" x14ac:dyDescent="0.3">
      <c r="A15" s="441" t="s">
        <v>382</v>
      </c>
      <c r="B15" s="441"/>
      <c r="C15" s="441"/>
      <c r="D15" s="441"/>
      <c r="E15" s="441"/>
      <c r="F15" s="441"/>
      <c r="G15" s="441"/>
      <c r="H15" s="441"/>
      <c r="I15" s="441"/>
      <c r="J15" s="441"/>
      <c r="K15" s="441"/>
      <c r="L15" s="78"/>
      <c r="M15" s="78"/>
    </row>
    <row r="16" spans="1:13" ht="15.75" thickBot="1" x14ac:dyDescent="0.3">
      <c r="A16" s="218" t="s">
        <v>63</v>
      </c>
      <c r="B16" s="219" t="s">
        <v>64</v>
      </c>
      <c r="C16" s="219" t="s">
        <v>65</v>
      </c>
      <c r="D16" s="219" t="s">
        <v>66</v>
      </c>
      <c r="E16" s="219" t="s">
        <v>67</v>
      </c>
      <c r="F16" s="219" t="s">
        <v>94</v>
      </c>
      <c r="G16" s="219" t="s">
        <v>69</v>
      </c>
      <c r="H16" s="219" t="s">
        <v>70</v>
      </c>
      <c r="I16" s="219" t="s">
        <v>71</v>
      </c>
      <c r="J16" s="219" t="s">
        <v>72</v>
      </c>
      <c r="K16" s="220" t="s">
        <v>73</v>
      </c>
      <c r="L16" s="78"/>
      <c r="M16" s="78"/>
    </row>
    <row r="17" spans="1:13" x14ac:dyDescent="0.25">
      <c r="A17" s="221" t="s">
        <v>11</v>
      </c>
      <c r="B17" s="222" t="s">
        <v>92</v>
      </c>
      <c r="C17" s="223" t="s">
        <v>389</v>
      </c>
      <c r="D17" s="224" t="s">
        <v>384</v>
      </c>
      <c r="E17" s="53">
        <v>4556000</v>
      </c>
      <c r="F17" s="237">
        <v>1</v>
      </c>
      <c r="G17" s="237">
        <v>1</v>
      </c>
      <c r="H17" s="237">
        <v>1</v>
      </c>
      <c r="I17" s="226">
        <v>4556000</v>
      </c>
      <c r="J17" s="227">
        <v>0.47</v>
      </c>
      <c r="K17" s="226">
        <v>2436402</v>
      </c>
      <c r="L17" s="78"/>
      <c r="M17" s="78"/>
    </row>
    <row r="18" spans="1:13" x14ac:dyDescent="0.25">
      <c r="A18" s="221" t="s">
        <v>11</v>
      </c>
      <c r="B18" s="71" t="s">
        <v>78</v>
      </c>
      <c r="C18" s="72" t="s">
        <v>78</v>
      </c>
      <c r="D18" s="224" t="s">
        <v>385</v>
      </c>
      <c r="E18" s="53">
        <v>3900000</v>
      </c>
      <c r="F18" s="237">
        <v>1</v>
      </c>
      <c r="G18" s="237">
        <v>1</v>
      </c>
      <c r="H18" s="237">
        <v>1</v>
      </c>
      <c r="I18" s="226">
        <v>3900000</v>
      </c>
      <c r="J18" s="227">
        <v>0</v>
      </c>
      <c r="K18" s="226">
        <v>3900000</v>
      </c>
      <c r="L18" s="78"/>
      <c r="M18" s="78"/>
    </row>
    <row r="19" spans="1:13" x14ac:dyDescent="0.25">
      <c r="A19" s="221" t="s">
        <v>11</v>
      </c>
      <c r="B19" s="71" t="s">
        <v>78</v>
      </c>
      <c r="C19" s="72" t="s">
        <v>78</v>
      </c>
      <c r="D19" s="54" t="s">
        <v>386</v>
      </c>
      <c r="E19" s="53">
        <v>2400000</v>
      </c>
      <c r="F19" s="52">
        <v>1</v>
      </c>
      <c r="G19" s="52">
        <v>1</v>
      </c>
      <c r="H19" s="52">
        <v>1</v>
      </c>
      <c r="I19" s="226">
        <v>2400000</v>
      </c>
      <c r="J19" s="228">
        <v>0</v>
      </c>
      <c r="K19" s="53">
        <v>2400000</v>
      </c>
      <c r="L19" s="78"/>
      <c r="M19" s="78"/>
    </row>
    <row r="20" spans="1:13" x14ac:dyDescent="0.25">
      <c r="A20" s="221" t="s">
        <v>11</v>
      </c>
      <c r="B20" s="230" t="s">
        <v>78</v>
      </c>
      <c r="C20" s="231" t="s">
        <v>78</v>
      </c>
      <c r="D20" s="232" t="s">
        <v>387</v>
      </c>
      <c r="E20" s="233">
        <v>2800000</v>
      </c>
      <c r="F20" s="238">
        <v>1</v>
      </c>
      <c r="G20" s="238">
        <v>1</v>
      </c>
      <c r="H20" s="238">
        <v>1</v>
      </c>
      <c r="I20" s="226">
        <v>2800000</v>
      </c>
      <c r="J20" s="235">
        <v>0.4</v>
      </c>
      <c r="K20" s="226">
        <v>1680000</v>
      </c>
      <c r="L20" s="78"/>
      <c r="M20" s="78"/>
    </row>
    <row r="21" spans="1:13" x14ac:dyDescent="0.25">
      <c r="A21" s="221" t="s">
        <v>11</v>
      </c>
      <c r="B21" s="230" t="s">
        <v>78</v>
      </c>
      <c r="C21" s="231" t="s">
        <v>78</v>
      </c>
      <c r="D21" s="54" t="s">
        <v>80</v>
      </c>
      <c r="E21" s="53">
        <v>1700000</v>
      </c>
      <c r="F21" s="238">
        <v>1</v>
      </c>
      <c r="G21" s="238">
        <v>1</v>
      </c>
      <c r="H21" s="238">
        <v>1</v>
      </c>
      <c r="I21" s="226">
        <v>1700000</v>
      </c>
      <c r="J21" s="235">
        <v>0.4</v>
      </c>
      <c r="K21" s="226">
        <v>1020000</v>
      </c>
      <c r="L21" s="78"/>
      <c r="M21" s="78"/>
    </row>
    <row r="22" spans="1:13" ht="15.75" thickBot="1" x14ac:dyDescent="0.3">
      <c r="A22" s="221" t="s">
        <v>11</v>
      </c>
      <c r="B22" s="230" t="s">
        <v>78</v>
      </c>
      <c r="C22" s="231" t="s">
        <v>78</v>
      </c>
      <c r="D22" s="54" t="s">
        <v>81</v>
      </c>
      <c r="E22" s="53">
        <v>2500000</v>
      </c>
      <c r="F22" s="238">
        <v>1</v>
      </c>
      <c r="G22" s="238">
        <v>1</v>
      </c>
      <c r="H22" s="238">
        <v>1</v>
      </c>
      <c r="I22" s="226">
        <v>2500000</v>
      </c>
      <c r="J22" s="235">
        <v>0.4</v>
      </c>
      <c r="K22" s="226">
        <v>1500000</v>
      </c>
      <c r="L22" s="78"/>
      <c r="M22" s="78"/>
    </row>
    <row r="23" spans="1:13" ht="15.75" x14ac:dyDescent="0.25">
      <c r="A23" s="57"/>
      <c r="B23" s="57"/>
      <c r="C23" s="57"/>
      <c r="D23" s="57"/>
      <c r="E23" s="57"/>
      <c r="F23" s="57"/>
      <c r="G23" s="57"/>
      <c r="H23" s="57"/>
      <c r="I23" s="236">
        <v>23840000</v>
      </c>
      <c r="J23" s="57"/>
      <c r="K23" s="59">
        <v>12936402</v>
      </c>
      <c r="L23" s="78">
        <v>13</v>
      </c>
      <c r="M23" s="78"/>
    </row>
    <row r="24" spans="1:13" x14ac:dyDescent="0.25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</row>
    <row r="25" spans="1:13" ht="15.75" thickBot="1" x14ac:dyDescent="0.3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</row>
    <row r="26" spans="1:13" ht="24" thickBot="1" x14ac:dyDescent="0.4">
      <c r="A26" s="448" t="s">
        <v>390</v>
      </c>
      <c r="B26" s="449"/>
      <c r="C26" s="449"/>
      <c r="D26" s="449"/>
      <c r="E26" s="449"/>
      <c r="F26" s="449"/>
      <c r="G26" s="449"/>
      <c r="H26" s="449"/>
      <c r="I26" s="449"/>
      <c r="J26" s="449"/>
      <c r="K26" s="449"/>
      <c r="L26" s="78"/>
      <c r="M26" s="78"/>
    </row>
    <row r="27" spans="1:13" ht="16.5" thickBot="1" x14ac:dyDescent="0.3">
      <c r="A27" s="441" t="s">
        <v>382</v>
      </c>
      <c r="B27" s="441"/>
      <c r="C27" s="441"/>
      <c r="D27" s="441"/>
      <c r="E27" s="441"/>
      <c r="F27" s="441"/>
      <c r="G27" s="441"/>
      <c r="H27" s="441"/>
      <c r="I27" s="441"/>
      <c r="J27" s="441"/>
      <c r="K27" s="441"/>
      <c r="L27" s="78"/>
      <c r="M27" s="78"/>
    </row>
    <row r="28" spans="1:13" ht="15.75" thickBot="1" x14ac:dyDescent="0.3">
      <c r="A28" s="218" t="s">
        <v>63</v>
      </c>
      <c r="B28" s="219" t="s">
        <v>64</v>
      </c>
      <c r="C28" s="219" t="s">
        <v>65</v>
      </c>
      <c r="D28" s="219" t="s">
        <v>66</v>
      </c>
      <c r="E28" s="219" t="s">
        <v>67</v>
      </c>
      <c r="F28" s="219" t="s">
        <v>94</v>
      </c>
      <c r="G28" s="219" t="s">
        <v>69</v>
      </c>
      <c r="H28" s="219" t="s">
        <v>70</v>
      </c>
      <c r="I28" s="219" t="s">
        <v>71</v>
      </c>
      <c r="J28" s="219" t="s">
        <v>72</v>
      </c>
      <c r="K28" s="220" t="s">
        <v>73</v>
      </c>
      <c r="L28" s="78"/>
      <c r="M28" s="78"/>
    </row>
    <row r="29" spans="1:13" x14ac:dyDescent="0.25">
      <c r="A29" s="221" t="s">
        <v>10</v>
      </c>
      <c r="B29" s="222" t="s">
        <v>92</v>
      </c>
      <c r="C29" s="223" t="s">
        <v>389</v>
      </c>
      <c r="D29" s="224" t="s">
        <v>384</v>
      </c>
      <c r="E29" s="53">
        <v>8280000</v>
      </c>
      <c r="F29" s="237">
        <v>1</v>
      </c>
      <c r="G29" s="237">
        <v>1</v>
      </c>
      <c r="H29" s="237">
        <v>1</v>
      </c>
      <c r="I29" s="226">
        <v>8280000</v>
      </c>
      <c r="J29" s="227">
        <v>0.47</v>
      </c>
      <c r="K29" s="226">
        <v>4427877</v>
      </c>
      <c r="L29" s="78"/>
      <c r="M29" s="78"/>
    </row>
    <row r="30" spans="1:13" x14ac:dyDescent="0.25">
      <c r="A30" s="221" t="s">
        <v>10</v>
      </c>
      <c r="B30" s="71" t="s">
        <v>78</v>
      </c>
      <c r="C30" s="72" t="s">
        <v>78</v>
      </c>
      <c r="D30" s="224" t="s">
        <v>385</v>
      </c>
      <c r="E30" s="53">
        <v>3500000</v>
      </c>
      <c r="F30" s="237">
        <v>1</v>
      </c>
      <c r="G30" s="237">
        <v>1</v>
      </c>
      <c r="H30" s="237">
        <v>1</v>
      </c>
      <c r="I30" s="226">
        <v>3500000</v>
      </c>
      <c r="J30" s="227">
        <v>0</v>
      </c>
      <c r="K30" s="226">
        <v>3500000</v>
      </c>
      <c r="L30" s="78"/>
      <c r="M30" s="78"/>
    </row>
    <row r="31" spans="1:13" x14ac:dyDescent="0.25">
      <c r="A31" s="221" t="s">
        <v>10</v>
      </c>
      <c r="B31" s="71" t="s">
        <v>78</v>
      </c>
      <c r="C31" s="72" t="s">
        <v>78</v>
      </c>
      <c r="D31" s="54" t="s">
        <v>386</v>
      </c>
      <c r="E31" s="53">
        <v>2400000</v>
      </c>
      <c r="F31" s="52">
        <v>1</v>
      </c>
      <c r="G31" s="52">
        <v>1</v>
      </c>
      <c r="H31" s="52">
        <v>1</v>
      </c>
      <c r="I31" s="226">
        <v>2400000</v>
      </c>
      <c r="J31" s="228">
        <v>0</v>
      </c>
      <c r="K31" s="53">
        <v>2400000</v>
      </c>
      <c r="L31" s="78"/>
      <c r="M31" s="78"/>
    </row>
    <row r="32" spans="1:13" x14ac:dyDescent="0.25">
      <c r="A32" s="221" t="s">
        <v>10</v>
      </c>
      <c r="B32" s="230" t="s">
        <v>78</v>
      </c>
      <c r="C32" s="231" t="s">
        <v>78</v>
      </c>
      <c r="D32" s="232" t="s">
        <v>387</v>
      </c>
      <c r="E32" s="233">
        <v>8000000</v>
      </c>
      <c r="F32" s="238">
        <v>1</v>
      </c>
      <c r="G32" s="238">
        <v>1</v>
      </c>
      <c r="H32" s="238">
        <v>1</v>
      </c>
      <c r="I32" s="226">
        <v>8000000</v>
      </c>
      <c r="J32" s="235">
        <v>0.4</v>
      </c>
      <c r="K32" s="226">
        <v>4800000</v>
      </c>
      <c r="L32" s="78"/>
      <c r="M32" s="78"/>
    </row>
    <row r="33" spans="1:13" x14ac:dyDescent="0.25">
      <c r="A33" s="221" t="s">
        <v>10</v>
      </c>
      <c r="B33" s="230" t="s">
        <v>78</v>
      </c>
      <c r="C33" s="231" t="s">
        <v>78</v>
      </c>
      <c r="D33" s="54" t="s">
        <v>80</v>
      </c>
      <c r="E33" s="53">
        <v>1700000</v>
      </c>
      <c r="F33" s="238">
        <v>1</v>
      </c>
      <c r="G33" s="238">
        <v>1</v>
      </c>
      <c r="H33" s="238">
        <v>1</v>
      </c>
      <c r="I33" s="226">
        <v>1700000</v>
      </c>
      <c r="J33" s="235">
        <v>0.4</v>
      </c>
      <c r="K33" s="226">
        <v>1020000</v>
      </c>
      <c r="L33" s="78"/>
      <c r="M33" s="78"/>
    </row>
    <row r="34" spans="1:13" ht="15.75" thickBot="1" x14ac:dyDescent="0.3">
      <c r="A34" s="221" t="s">
        <v>10</v>
      </c>
      <c r="B34" s="230" t="s">
        <v>78</v>
      </c>
      <c r="C34" s="231" t="s">
        <v>78</v>
      </c>
      <c r="D34" s="54" t="s">
        <v>81</v>
      </c>
      <c r="E34" s="53">
        <v>2500000</v>
      </c>
      <c r="F34" s="238">
        <v>1</v>
      </c>
      <c r="G34" s="238">
        <v>1</v>
      </c>
      <c r="H34" s="238">
        <v>1</v>
      </c>
      <c r="I34" s="226">
        <v>2500000</v>
      </c>
      <c r="J34" s="235">
        <v>0.4</v>
      </c>
      <c r="K34" s="226">
        <v>1500000</v>
      </c>
      <c r="L34" s="78"/>
      <c r="M34" s="78"/>
    </row>
    <row r="35" spans="1:13" ht="15.75" x14ac:dyDescent="0.25">
      <c r="A35" s="57"/>
      <c r="B35" s="57"/>
      <c r="C35" s="57"/>
      <c r="D35" s="57"/>
      <c r="E35" s="57"/>
      <c r="F35" s="57"/>
      <c r="G35" s="57"/>
      <c r="H35" s="57"/>
      <c r="I35" s="236">
        <v>23840000</v>
      </c>
      <c r="J35" s="57"/>
      <c r="K35" s="59">
        <v>17647877</v>
      </c>
      <c r="L35" s="78"/>
      <c r="M35" s="78"/>
    </row>
    <row r="38" spans="1:13" ht="15.75" thickBot="1" x14ac:dyDescent="0.3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</row>
    <row r="39" spans="1:13" ht="24" thickBot="1" x14ac:dyDescent="0.4">
      <c r="A39" s="439" t="s">
        <v>391</v>
      </c>
      <c r="B39" s="440"/>
      <c r="C39" s="440"/>
      <c r="D39" s="440"/>
      <c r="E39" s="440"/>
      <c r="F39" s="440"/>
      <c r="G39" s="440"/>
      <c r="H39" s="440"/>
      <c r="I39" s="440"/>
      <c r="J39" s="440"/>
      <c r="K39" s="440"/>
    </row>
    <row r="40" spans="1:13" ht="16.5" thickBot="1" x14ac:dyDescent="0.3">
      <c r="A40" s="441" t="s">
        <v>382</v>
      </c>
      <c r="B40" s="441"/>
      <c r="C40" s="441"/>
      <c r="D40" s="441"/>
      <c r="E40" s="441"/>
      <c r="F40" s="441"/>
      <c r="G40" s="441"/>
      <c r="H40" s="441"/>
      <c r="I40" s="441"/>
      <c r="J40" s="441"/>
      <c r="K40" s="441"/>
    </row>
    <row r="41" spans="1:13" ht="15.75" thickBot="1" x14ac:dyDescent="0.3">
      <c r="A41" s="218" t="s">
        <v>63</v>
      </c>
      <c r="B41" s="219" t="s">
        <v>64</v>
      </c>
      <c r="C41" s="219" t="s">
        <v>65</v>
      </c>
      <c r="D41" s="219" t="s">
        <v>66</v>
      </c>
      <c r="E41" s="219" t="s">
        <v>67</v>
      </c>
      <c r="F41" s="219" t="s">
        <v>94</v>
      </c>
      <c r="G41" s="219" t="s">
        <v>69</v>
      </c>
      <c r="H41" s="219" t="s">
        <v>70</v>
      </c>
      <c r="I41" s="219" t="s">
        <v>71</v>
      </c>
      <c r="J41" s="219" t="s">
        <v>72</v>
      </c>
      <c r="K41" s="220" t="s">
        <v>73</v>
      </c>
    </row>
    <row r="42" spans="1:13" x14ac:dyDescent="0.25">
      <c r="A42" s="221" t="s">
        <v>12</v>
      </c>
      <c r="B42" s="222" t="s">
        <v>75</v>
      </c>
      <c r="C42" s="223" t="s">
        <v>392</v>
      </c>
      <c r="D42" s="224" t="s">
        <v>384</v>
      </c>
      <c r="E42" s="53">
        <v>10160000</v>
      </c>
      <c r="F42" s="239">
        <v>1</v>
      </c>
      <c r="G42" s="239">
        <v>1</v>
      </c>
      <c r="H42" s="239">
        <v>1</v>
      </c>
      <c r="I42" s="226">
        <v>10160000</v>
      </c>
      <c r="J42" s="227">
        <v>0.47</v>
      </c>
      <c r="K42" s="226">
        <v>5433240</v>
      </c>
    </row>
    <row r="43" spans="1:13" x14ac:dyDescent="0.25">
      <c r="A43" s="71" t="s">
        <v>12</v>
      </c>
      <c r="B43" s="71" t="s">
        <v>78</v>
      </c>
      <c r="C43" s="72" t="s">
        <v>78</v>
      </c>
      <c r="D43" s="224" t="s">
        <v>385</v>
      </c>
      <c r="E43" s="53">
        <v>4500000</v>
      </c>
      <c r="F43" s="239">
        <v>1</v>
      </c>
      <c r="G43" s="239">
        <v>1</v>
      </c>
      <c r="H43" s="239">
        <v>1</v>
      </c>
      <c r="I43" s="226">
        <v>4500000</v>
      </c>
      <c r="J43" s="227">
        <v>0</v>
      </c>
      <c r="K43" s="226">
        <v>4500000</v>
      </c>
    </row>
    <row r="44" spans="1:13" x14ac:dyDescent="0.25">
      <c r="A44" s="71" t="s">
        <v>12</v>
      </c>
      <c r="B44" s="71" t="s">
        <v>78</v>
      </c>
      <c r="C44" s="72" t="s">
        <v>78</v>
      </c>
      <c r="D44" s="54" t="s">
        <v>79</v>
      </c>
      <c r="E44" s="53">
        <v>2280000</v>
      </c>
      <c r="F44" s="239">
        <v>1</v>
      </c>
      <c r="G44" s="239">
        <v>1</v>
      </c>
      <c r="H44" s="239">
        <v>1</v>
      </c>
      <c r="I44" s="226">
        <v>2280000</v>
      </c>
      <c r="J44" s="228">
        <v>0</v>
      </c>
      <c r="K44" s="226">
        <v>2280000</v>
      </c>
    </row>
    <row r="45" spans="1:13" x14ac:dyDescent="0.25">
      <c r="A45" s="229" t="s">
        <v>12</v>
      </c>
      <c r="B45" s="230" t="s">
        <v>78</v>
      </c>
      <c r="C45" s="231" t="s">
        <v>78</v>
      </c>
      <c r="D45" s="232" t="s">
        <v>80</v>
      </c>
      <c r="E45" s="233">
        <v>2462400</v>
      </c>
      <c r="F45" s="239">
        <v>1</v>
      </c>
      <c r="G45" s="239">
        <v>1</v>
      </c>
      <c r="H45" s="239">
        <v>1</v>
      </c>
      <c r="I45" s="226">
        <v>2462400</v>
      </c>
      <c r="J45" s="235">
        <v>0.52</v>
      </c>
      <c r="K45" s="226">
        <v>1181952</v>
      </c>
    </row>
    <row r="46" spans="1:13" x14ac:dyDescent="0.25">
      <c r="A46" s="229" t="s">
        <v>12</v>
      </c>
      <c r="B46" s="230" t="s">
        <v>78</v>
      </c>
      <c r="C46" s="231" t="s">
        <v>78</v>
      </c>
      <c r="D46" s="54" t="s">
        <v>81</v>
      </c>
      <c r="E46" s="53">
        <v>6840000</v>
      </c>
      <c r="F46" s="239">
        <v>1</v>
      </c>
      <c r="G46" s="239">
        <v>1</v>
      </c>
      <c r="H46" s="239">
        <v>1</v>
      </c>
      <c r="I46" s="226">
        <v>6840000</v>
      </c>
      <c r="J46" s="235">
        <v>0.52</v>
      </c>
      <c r="K46" s="226">
        <v>3317400</v>
      </c>
    </row>
    <row r="47" spans="1:13" x14ac:dyDescent="0.25">
      <c r="A47" s="229" t="s">
        <v>12</v>
      </c>
      <c r="B47" s="230" t="s">
        <v>78</v>
      </c>
      <c r="C47" s="231" t="s">
        <v>78</v>
      </c>
      <c r="D47" s="232" t="s">
        <v>387</v>
      </c>
      <c r="E47" s="233">
        <v>7000000</v>
      </c>
      <c r="F47" s="239">
        <v>1</v>
      </c>
      <c r="G47" s="239">
        <v>1</v>
      </c>
      <c r="H47" s="239">
        <v>1</v>
      </c>
      <c r="I47" s="226">
        <v>7000000</v>
      </c>
      <c r="J47" s="235">
        <v>0.5</v>
      </c>
      <c r="K47" s="226">
        <v>3486000</v>
      </c>
    </row>
    <row r="48" spans="1:13" x14ac:dyDescent="0.25">
      <c r="A48" s="442" t="s">
        <v>393</v>
      </c>
      <c r="B48" s="443"/>
      <c r="C48" s="443"/>
      <c r="D48" s="443"/>
      <c r="E48" s="443"/>
      <c r="F48" s="443"/>
      <c r="G48" s="443"/>
      <c r="H48" s="443"/>
      <c r="I48" s="443"/>
      <c r="J48" s="443"/>
      <c r="K48" s="443"/>
    </row>
    <row r="49" spans="1:11" ht="15.75" thickBot="1" x14ac:dyDescent="0.3">
      <c r="A49" s="240" t="s">
        <v>12</v>
      </c>
      <c r="B49" s="240" t="s">
        <v>97</v>
      </c>
      <c r="C49" s="241" t="s">
        <v>394</v>
      </c>
      <c r="D49" s="241" t="s">
        <v>395</v>
      </c>
      <c r="E49" s="242">
        <v>10000000</v>
      </c>
      <c r="F49" s="243">
        <v>1</v>
      </c>
      <c r="G49" s="243">
        <v>1</v>
      </c>
      <c r="H49" s="243">
        <v>1</v>
      </c>
      <c r="I49" s="242">
        <v>10000000</v>
      </c>
      <c r="J49" s="244"/>
      <c r="K49" s="242">
        <v>10000000</v>
      </c>
    </row>
    <row r="50" spans="1:11" ht="15.75" x14ac:dyDescent="0.25">
      <c r="A50" s="57"/>
      <c r="B50" s="57"/>
      <c r="C50" s="57"/>
      <c r="D50" s="57"/>
      <c r="E50" s="57"/>
      <c r="F50" s="57"/>
      <c r="G50" s="57"/>
      <c r="H50" s="57"/>
      <c r="I50" s="236">
        <v>23840000</v>
      </c>
      <c r="J50" s="57"/>
      <c r="K50" s="59">
        <v>30198592</v>
      </c>
    </row>
    <row r="51" spans="1:1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</row>
    <row r="52" spans="1:11" ht="15.75" thickBot="1" x14ac:dyDescent="0.3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</row>
    <row r="53" spans="1:11" ht="24" thickBot="1" x14ac:dyDescent="0.4">
      <c r="A53" s="439" t="s">
        <v>396</v>
      </c>
      <c r="B53" s="440"/>
      <c r="C53" s="440"/>
      <c r="D53" s="440"/>
      <c r="E53" s="440"/>
      <c r="F53" s="440"/>
      <c r="G53" s="440"/>
      <c r="H53" s="440"/>
      <c r="I53" s="440"/>
      <c r="J53" s="440"/>
      <c r="K53" s="440"/>
    </row>
    <row r="54" spans="1:11" ht="16.5" thickBot="1" x14ac:dyDescent="0.3">
      <c r="A54" s="441" t="s">
        <v>382</v>
      </c>
      <c r="B54" s="441"/>
      <c r="C54" s="441"/>
      <c r="D54" s="441"/>
      <c r="E54" s="441"/>
      <c r="F54" s="441"/>
      <c r="G54" s="441"/>
      <c r="H54" s="441"/>
      <c r="I54" s="441"/>
      <c r="J54" s="441"/>
      <c r="K54" s="441"/>
    </row>
    <row r="55" spans="1:11" ht="15.75" thickBot="1" x14ac:dyDescent="0.3">
      <c r="A55" s="218" t="s">
        <v>63</v>
      </c>
      <c r="B55" s="219" t="s">
        <v>64</v>
      </c>
      <c r="C55" s="219" t="s">
        <v>65</v>
      </c>
      <c r="D55" s="219" t="s">
        <v>66</v>
      </c>
      <c r="E55" s="219" t="s">
        <v>67</v>
      </c>
      <c r="F55" s="219" t="s">
        <v>94</v>
      </c>
      <c r="G55" s="219" t="s">
        <v>69</v>
      </c>
      <c r="H55" s="219" t="s">
        <v>70</v>
      </c>
      <c r="I55" s="219" t="s">
        <v>71</v>
      </c>
      <c r="J55" s="219" t="s">
        <v>72</v>
      </c>
      <c r="K55" s="220" t="s">
        <v>73</v>
      </c>
    </row>
    <row r="56" spans="1:11" x14ac:dyDescent="0.25">
      <c r="A56" s="221" t="s">
        <v>12</v>
      </c>
      <c r="B56" s="222" t="s">
        <v>75</v>
      </c>
      <c r="C56" s="223" t="s">
        <v>392</v>
      </c>
      <c r="D56" s="224" t="s">
        <v>384</v>
      </c>
      <c r="E56" s="53">
        <v>10160000</v>
      </c>
      <c r="F56" s="239">
        <v>1</v>
      </c>
      <c r="G56" s="239">
        <v>1</v>
      </c>
      <c r="H56" s="239">
        <v>1</v>
      </c>
      <c r="I56" s="226">
        <v>10160000</v>
      </c>
      <c r="J56" s="227">
        <v>0.47</v>
      </c>
      <c r="K56" s="226">
        <v>5433240</v>
      </c>
    </row>
    <row r="57" spans="1:11" x14ac:dyDescent="0.25">
      <c r="A57" s="71" t="s">
        <v>12</v>
      </c>
      <c r="B57" s="71" t="s">
        <v>78</v>
      </c>
      <c r="C57" s="72" t="s">
        <v>78</v>
      </c>
      <c r="D57" s="224" t="s">
        <v>385</v>
      </c>
      <c r="E57" s="53">
        <v>4500000</v>
      </c>
      <c r="F57" s="239">
        <v>1</v>
      </c>
      <c r="G57" s="239">
        <v>1</v>
      </c>
      <c r="H57" s="239">
        <v>1</v>
      </c>
      <c r="I57" s="226">
        <v>4500000</v>
      </c>
      <c r="J57" s="227">
        <v>0</v>
      </c>
      <c r="K57" s="226">
        <v>4500000</v>
      </c>
    </row>
    <row r="58" spans="1:11" x14ac:dyDescent="0.25">
      <c r="A58" s="71" t="s">
        <v>12</v>
      </c>
      <c r="B58" s="71" t="s">
        <v>78</v>
      </c>
      <c r="C58" s="72" t="s">
        <v>78</v>
      </c>
      <c r="D58" s="54" t="s">
        <v>79</v>
      </c>
      <c r="E58" s="53">
        <v>2280000</v>
      </c>
      <c r="F58" s="239">
        <v>1</v>
      </c>
      <c r="G58" s="239">
        <v>1</v>
      </c>
      <c r="H58" s="239">
        <v>1</v>
      </c>
      <c r="I58" s="226">
        <v>2280000</v>
      </c>
      <c r="J58" s="228">
        <v>0</v>
      </c>
      <c r="K58" s="226">
        <v>2280000</v>
      </c>
    </row>
    <row r="59" spans="1:11" x14ac:dyDescent="0.25">
      <c r="A59" s="229" t="s">
        <v>12</v>
      </c>
      <c r="B59" s="230" t="s">
        <v>78</v>
      </c>
      <c r="C59" s="231" t="s">
        <v>78</v>
      </c>
      <c r="D59" s="232" t="s">
        <v>80</v>
      </c>
      <c r="E59" s="233">
        <v>2462400</v>
      </c>
      <c r="F59" s="239">
        <v>1</v>
      </c>
      <c r="G59" s="239">
        <v>1</v>
      </c>
      <c r="H59" s="239">
        <v>1</v>
      </c>
      <c r="I59" s="226">
        <v>2462400</v>
      </c>
      <c r="J59" s="235">
        <v>0.51</v>
      </c>
      <c r="K59" s="226">
        <v>1206576</v>
      </c>
    </row>
    <row r="60" spans="1:11" x14ac:dyDescent="0.25">
      <c r="A60" s="229" t="s">
        <v>12</v>
      </c>
      <c r="B60" s="230" t="s">
        <v>78</v>
      </c>
      <c r="C60" s="231" t="s">
        <v>78</v>
      </c>
      <c r="D60" s="54" t="s">
        <v>81</v>
      </c>
      <c r="E60" s="53">
        <v>6840000</v>
      </c>
      <c r="F60" s="239">
        <v>1</v>
      </c>
      <c r="G60" s="239">
        <v>1</v>
      </c>
      <c r="H60" s="239">
        <v>1</v>
      </c>
      <c r="I60" s="226">
        <v>6840000</v>
      </c>
      <c r="J60" s="235">
        <v>0.51</v>
      </c>
      <c r="K60" s="226">
        <v>3351600</v>
      </c>
    </row>
    <row r="61" spans="1:11" ht="15.75" thickBot="1" x14ac:dyDescent="0.3">
      <c r="A61" s="229" t="s">
        <v>12</v>
      </c>
      <c r="B61" s="230" t="s">
        <v>78</v>
      </c>
      <c r="C61" s="231" t="s">
        <v>78</v>
      </c>
      <c r="D61" s="232" t="s">
        <v>387</v>
      </c>
      <c r="E61" s="233">
        <v>7000000</v>
      </c>
      <c r="F61" s="239">
        <v>1</v>
      </c>
      <c r="G61" s="239">
        <v>1</v>
      </c>
      <c r="H61" s="239">
        <v>1</v>
      </c>
      <c r="I61" s="226">
        <v>7000000</v>
      </c>
      <c r="J61" s="235">
        <v>0.51</v>
      </c>
      <c r="K61" s="226">
        <v>3430000</v>
      </c>
    </row>
    <row r="62" spans="1:11" ht="15.75" x14ac:dyDescent="0.25">
      <c r="A62" s="57"/>
      <c r="B62" s="57"/>
      <c r="C62" s="57"/>
      <c r="D62" s="57"/>
      <c r="E62" s="57"/>
      <c r="F62" s="57"/>
      <c r="G62" s="57"/>
      <c r="H62" s="57"/>
      <c r="I62" s="236">
        <v>23840000</v>
      </c>
      <c r="J62" s="57"/>
      <c r="K62" s="59">
        <v>20201416</v>
      </c>
    </row>
  </sheetData>
  <mergeCells count="11">
    <mergeCell ref="A27:K27"/>
    <mergeCell ref="A2:K2"/>
    <mergeCell ref="A3:K3"/>
    <mergeCell ref="A14:K14"/>
    <mergeCell ref="A15:K15"/>
    <mergeCell ref="A26:K26"/>
    <mergeCell ref="A39:K39"/>
    <mergeCell ref="A40:K40"/>
    <mergeCell ref="A48:K48"/>
    <mergeCell ref="A53:K53"/>
    <mergeCell ref="A54:K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9389-61E6-4FB7-A64A-3AD1274BEDCB}">
  <dimension ref="A1:K73"/>
  <sheetViews>
    <sheetView showGridLines="0" workbookViewId="0">
      <selection activeCell="D89" sqref="D89"/>
    </sheetView>
  </sheetViews>
  <sheetFormatPr baseColWidth="10" defaultRowHeight="15" x14ac:dyDescent="0.25"/>
  <cols>
    <col min="3" max="3" width="16.5703125" customWidth="1"/>
    <col min="4" max="4" width="44.7109375" customWidth="1"/>
    <col min="10" max="10" width="14.140625" customWidth="1"/>
    <col min="11" max="11" width="13.7109375" customWidth="1"/>
  </cols>
  <sheetData>
    <row r="1" spans="1:11" x14ac:dyDescent="0.25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</row>
    <row r="2" spans="1:11" ht="18.75" thickBot="1" x14ac:dyDescent="0.3">
      <c r="A2" s="454" t="s">
        <v>397</v>
      </c>
      <c r="B2" s="455"/>
      <c r="C2" s="455"/>
      <c r="D2" s="455"/>
      <c r="E2" s="455"/>
      <c r="F2" s="455"/>
      <c r="G2" s="455"/>
      <c r="H2" s="455"/>
      <c r="I2" s="455"/>
      <c r="J2" s="455"/>
      <c r="K2" s="455"/>
    </row>
    <row r="3" spans="1:11" ht="15.75" thickBot="1" x14ac:dyDescent="0.3">
      <c r="A3" s="246" t="s">
        <v>63</v>
      </c>
      <c r="B3" s="247" t="s">
        <v>64</v>
      </c>
      <c r="C3" s="247" t="s">
        <v>65</v>
      </c>
      <c r="D3" s="247" t="s">
        <v>66</v>
      </c>
      <c r="E3" s="247" t="s">
        <v>398</v>
      </c>
      <c r="F3" s="247" t="s">
        <v>94</v>
      </c>
      <c r="G3" s="247" t="s">
        <v>69</v>
      </c>
      <c r="H3" s="247" t="s">
        <v>70</v>
      </c>
      <c r="I3" s="247" t="s">
        <v>71</v>
      </c>
      <c r="J3" s="247" t="s">
        <v>72</v>
      </c>
      <c r="K3" s="248" t="s">
        <v>73</v>
      </c>
    </row>
    <row r="4" spans="1:11" x14ac:dyDescent="0.25">
      <c r="A4" s="249" t="s">
        <v>355</v>
      </c>
      <c r="B4" s="249" t="s">
        <v>97</v>
      </c>
      <c r="C4" s="250" t="s">
        <v>399</v>
      </c>
      <c r="D4" s="251" t="s">
        <v>400</v>
      </c>
      <c r="E4" s="252">
        <v>1139000</v>
      </c>
      <c r="F4" s="253">
        <v>1</v>
      </c>
      <c r="G4" s="253">
        <v>1</v>
      </c>
      <c r="H4" s="253">
        <v>1</v>
      </c>
      <c r="I4" s="252">
        <v>1139000</v>
      </c>
      <c r="J4" s="254">
        <v>0.75</v>
      </c>
      <c r="K4" s="252">
        <v>284750</v>
      </c>
    </row>
    <row r="5" spans="1:11" x14ac:dyDescent="0.25">
      <c r="A5" s="249" t="s">
        <v>355</v>
      </c>
      <c r="B5" s="249" t="s">
        <v>97</v>
      </c>
      <c r="C5" s="250" t="s">
        <v>399</v>
      </c>
      <c r="D5" s="251" t="s">
        <v>401</v>
      </c>
      <c r="E5" s="252">
        <v>2278000</v>
      </c>
      <c r="F5" s="253">
        <v>2</v>
      </c>
      <c r="G5" s="253">
        <v>1</v>
      </c>
      <c r="H5" s="253">
        <v>2</v>
      </c>
      <c r="I5" s="252">
        <v>4556000</v>
      </c>
      <c r="J5" s="254">
        <v>0.75</v>
      </c>
      <c r="K5" s="252">
        <v>1139000</v>
      </c>
    </row>
    <row r="6" spans="1:11" x14ac:dyDescent="0.25">
      <c r="A6" s="249" t="s">
        <v>355</v>
      </c>
      <c r="B6" s="249" t="s">
        <v>97</v>
      </c>
      <c r="C6" s="250" t="s">
        <v>399</v>
      </c>
      <c r="D6" s="251" t="s">
        <v>402</v>
      </c>
      <c r="E6" s="252">
        <v>477000</v>
      </c>
      <c r="F6" s="253">
        <v>4</v>
      </c>
      <c r="G6" s="253">
        <v>1</v>
      </c>
      <c r="H6" s="253">
        <v>4</v>
      </c>
      <c r="I6" s="252">
        <v>1908000</v>
      </c>
      <c r="J6" s="254">
        <v>0.75</v>
      </c>
      <c r="K6" s="252">
        <v>477000</v>
      </c>
    </row>
    <row r="7" spans="1:11" x14ac:dyDescent="0.25">
      <c r="A7" s="249" t="s">
        <v>355</v>
      </c>
      <c r="B7" s="249" t="s">
        <v>97</v>
      </c>
      <c r="C7" s="250" t="s">
        <v>399</v>
      </c>
      <c r="D7" s="251" t="s">
        <v>403</v>
      </c>
      <c r="E7" s="252">
        <v>417000</v>
      </c>
      <c r="F7" s="253">
        <v>6</v>
      </c>
      <c r="G7" s="253">
        <v>1</v>
      </c>
      <c r="H7" s="253">
        <v>6</v>
      </c>
      <c r="I7" s="252">
        <v>2502000</v>
      </c>
      <c r="J7" s="254">
        <v>0.75</v>
      </c>
      <c r="K7" s="252">
        <v>625500</v>
      </c>
    </row>
    <row r="8" spans="1:11" x14ac:dyDescent="0.25">
      <c r="A8" s="249" t="s">
        <v>355</v>
      </c>
      <c r="B8" s="249" t="s">
        <v>97</v>
      </c>
      <c r="C8" s="250" t="s">
        <v>399</v>
      </c>
      <c r="D8" s="251" t="s">
        <v>404</v>
      </c>
      <c r="E8" s="252">
        <v>278000</v>
      </c>
      <c r="F8" s="253">
        <v>10</v>
      </c>
      <c r="G8" s="253">
        <v>1</v>
      </c>
      <c r="H8" s="253">
        <v>10</v>
      </c>
      <c r="I8" s="252">
        <v>2780000</v>
      </c>
      <c r="J8" s="254">
        <v>0.75</v>
      </c>
      <c r="K8" s="252">
        <v>695000</v>
      </c>
    </row>
    <row r="9" spans="1:11" x14ac:dyDescent="0.25">
      <c r="A9" s="249" t="s">
        <v>355</v>
      </c>
      <c r="B9" s="249" t="s">
        <v>97</v>
      </c>
      <c r="C9" s="250" t="s">
        <v>399</v>
      </c>
      <c r="D9" s="251" t="s">
        <v>405</v>
      </c>
      <c r="E9" s="252">
        <v>779000</v>
      </c>
      <c r="F9" s="253">
        <v>4</v>
      </c>
      <c r="G9" s="253">
        <v>1</v>
      </c>
      <c r="H9" s="253">
        <v>4</v>
      </c>
      <c r="I9" s="252">
        <v>3116000</v>
      </c>
      <c r="J9" s="254">
        <v>0.75</v>
      </c>
      <c r="K9" s="252">
        <v>779000</v>
      </c>
    </row>
    <row r="10" spans="1:11" ht="15.75" thickBot="1" x14ac:dyDescent="0.3">
      <c r="A10" s="450" t="s">
        <v>406</v>
      </c>
      <c r="B10" s="451"/>
      <c r="C10" s="451"/>
      <c r="D10" s="451"/>
      <c r="E10" s="451"/>
      <c r="F10" s="451"/>
      <c r="G10" s="451"/>
      <c r="H10" s="451"/>
      <c r="I10" s="451"/>
      <c r="J10" s="451"/>
      <c r="K10" s="451"/>
    </row>
    <row r="11" spans="1:11" x14ac:dyDescent="0.25">
      <c r="A11" s="255" t="s">
        <v>11</v>
      </c>
      <c r="B11" s="255" t="s">
        <v>97</v>
      </c>
      <c r="C11" s="250" t="s">
        <v>87</v>
      </c>
      <c r="D11" s="256" t="s">
        <v>98</v>
      </c>
      <c r="E11" s="252">
        <v>3416400</v>
      </c>
      <c r="F11" s="253">
        <v>1</v>
      </c>
      <c r="G11" s="253">
        <v>1</v>
      </c>
      <c r="H11" s="253">
        <v>1</v>
      </c>
      <c r="I11" s="252">
        <v>3416400</v>
      </c>
      <c r="J11" s="254">
        <v>0.8</v>
      </c>
      <c r="K11" s="252">
        <v>683280</v>
      </c>
    </row>
    <row r="12" spans="1:11" x14ac:dyDescent="0.25">
      <c r="A12" s="255" t="s">
        <v>11</v>
      </c>
      <c r="B12" s="255" t="s">
        <v>78</v>
      </c>
      <c r="C12" s="250" t="s">
        <v>78</v>
      </c>
      <c r="D12" s="256" t="s">
        <v>79</v>
      </c>
      <c r="E12" s="252">
        <v>2280000</v>
      </c>
      <c r="F12" s="253">
        <v>1</v>
      </c>
      <c r="G12" s="253">
        <v>1</v>
      </c>
      <c r="H12" s="253">
        <v>1</v>
      </c>
      <c r="I12" s="252">
        <v>2280000</v>
      </c>
      <c r="J12" s="254">
        <v>0</v>
      </c>
      <c r="K12" s="252">
        <v>2280000</v>
      </c>
    </row>
    <row r="13" spans="1:11" x14ac:dyDescent="0.25">
      <c r="A13" s="255" t="s">
        <v>11</v>
      </c>
      <c r="B13" s="255" t="s">
        <v>78</v>
      </c>
      <c r="C13" s="250" t="s">
        <v>78</v>
      </c>
      <c r="D13" s="256" t="s">
        <v>80</v>
      </c>
      <c r="E13" s="252">
        <v>1710000</v>
      </c>
      <c r="F13" s="253">
        <v>1</v>
      </c>
      <c r="G13" s="253">
        <v>1</v>
      </c>
      <c r="H13" s="253">
        <v>1</v>
      </c>
      <c r="I13" s="252">
        <v>1710000</v>
      </c>
      <c r="J13" s="254">
        <v>0.35</v>
      </c>
      <c r="K13" s="252">
        <v>1111500</v>
      </c>
    </row>
    <row r="14" spans="1:11" x14ac:dyDescent="0.25">
      <c r="A14" s="255" t="s">
        <v>11</v>
      </c>
      <c r="B14" s="255" t="s">
        <v>78</v>
      </c>
      <c r="C14" s="250" t="s">
        <v>78</v>
      </c>
      <c r="D14" s="256" t="s">
        <v>81</v>
      </c>
      <c r="E14" s="252">
        <v>2462400</v>
      </c>
      <c r="F14" s="253">
        <v>1</v>
      </c>
      <c r="G14" s="253">
        <v>1</v>
      </c>
      <c r="H14" s="253">
        <v>1</v>
      </c>
      <c r="I14" s="252">
        <v>2462400</v>
      </c>
      <c r="J14" s="254">
        <v>0.32</v>
      </c>
      <c r="K14" s="252">
        <v>1666396</v>
      </c>
    </row>
    <row r="15" spans="1:11" x14ac:dyDescent="0.25">
      <c r="A15" s="249" t="s">
        <v>11</v>
      </c>
      <c r="B15" s="249" t="s">
        <v>78</v>
      </c>
      <c r="C15" s="250" t="s">
        <v>399</v>
      </c>
      <c r="D15" s="251" t="s">
        <v>83</v>
      </c>
      <c r="E15" s="252">
        <v>5016000</v>
      </c>
      <c r="F15" s="253">
        <v>1</v>
      </c>
      <c r="G15" s="253">
        <v>1</v>
      </c>
      <c r="H15" s="253">
        <v>1</v>
      </c>
      <c r="I15" s="252">
        <v>5016000</v>
      </c>
      <c r="J15" s="254">
        <v>0.01</v>
      </c>
      <c r="K15" s="252">
        <v>4958824</v>
      </c>
    </row>
    <row r="16" spans="1:11" x14ac:dyDescent="0.25">
      <c r="A16" s="442" t="s">
        <v>393</v>
      </c>
      <c r="B16" s="443"/>
      <c r="C16" s="443"/>
      <c r="D16" s="443"/>
      <c r="E16" s="443"/>
      <c r="F16" s="443"/>
      <c r="G16" s="443"/>
      <c r="H16" s="443"/>
      <c r="I16" s="443"/>
      <c r="J16" s="443"/>
      <c r="K16" s="443"/>
    </row>
    <row r="17" spans="1:11" x14ac:dyDescent="0.25">
      <c r="A17" s="240" t="s">
        <v>11</v>
      </c>
      <c r="B17" s="240" t="s">
        <v>97</v>
      </c>
      <c r="C17" s="241" t="s">
        <v>394</v>
      </c>
      <c r="D17" s="241" t="s">
        <v>395</v>
      </c>
      <c r="E17" s="242">
        <v>7500000</v>
      </c>
      <c r="F17" s="243">
        <v>1</v>
      </c>
      <c r="G17" s="243">
        <v>1</v>
      </c>
      <c r="H17" s="243">
        <v>1</v>
      </c>
      <c r="I17" s="242">
        <v>7500000</v>
      </c>
      <c r="J17" s="244"/>
      <c r="K17" s="242">
        <v>7500000</v>
      </c>
    </row>
    <row r="18" spans="1:11" ht="15.75" thickBot="1" x14ac:dyDescent="0.3">
      <c r="A18" s="245"/>
      <c r="B18" s="245"/>
      <c r="C18" s="245"/>
      <c r="D18" s="245"/>
      <c r="E18" s="245"/>
      <c r="F18" s="245"/>
      <c r="G18" s="245"/>
      <c r="H18" s="245"/>
      <c r="I18" s="257">
        <v>29746800</v>
      </c>
      <c r="J18" s="245"/>
      <c r="K18" s="257">
        <v>22200250</v>
      </c>
    </row>
    <row r="19" spans="1:11" x14ac:dyDescent="0.25">
      <c r="A19" s="245"/>
      <c r="B19" s="245"/>
      <c r="C19" s="245"/>
      <c r="D19" s="245"/>
      <c r="E19" s="245"/>
      <c r="F19" s="245"/>
      <c r="G19" s="245"/>
      <c r="H19" s="245"/>
      <c r="I19" s="245"/>
      <c r="J19" s="245"/>
      <c r="K19" s="245"/>
    </row>
    <row r="20" spans="1:11" ht="18.75" thickBot="1" x14ac:dyDescent="0.3">
      <c r="A20" s="454" t="s">
        <v>407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</row>
    <row r="21" spans="1:11" ht="15.75" thickBot="1" x14ac:dyDescent="0.3">
      <c r="A21" s="246" t="s">
        <v>63</v>
      </c>
      <c r="B21" s="247" t="s">
        <v>64</v>
      </c>
      <c r="C21" s="247" t="s">
        <v>65</v>
      </c>
      <c r="D21" s="247" t="s">
        <v>66</v>
      </c>
      <c r="E21" s="247" t="s">
        <v>398</v>
      </c>
      <c r="F21" s="247" t="s">
        <v>94</v>
      </c>
      <c r="G21" s="247" t="s">
        <v>69</v>
      </c>
      <c r="H21" s="247" t="s">
        <v>70</v>
      </c>
      <c r="I21" s="247" t="s">
        <v>71</v>
      </c>
      <c r="J21" s="247" t="s">
        <v>72</v>
      </c>
      <c r="K21" s="248" t="s">
        <v>73</v>
      </c>
    </row>
    <row r="22" spans="1:11" x14ac:dyDescent="0.25">
      <c r="A22" s="249" t="s">
        <v>355</v>
      </c>
      <c r="B22" s="249" t="s">
        <v>97</v>
      </c>
      <c r="C22" s="250" t="s">
        <v>399</v>
      </c>
      <c r="D22" s="251" t="s">
        <v>400</v>
      </c>
      <c r="E22" s="252">
        <v>1139000</v>
      </c>
      <c r="F22" s="253">
        <v>1</v>
      </c>
      <c r="G22" s="253">
        <v>1</v>
      </c>
      <c r="H22" s="253">
        <v>1</v>
      </c>
      <c r="I22" s="252">
        <v>1139000</v>
      </c>
      <c r="J22" s="254">
        <v>0.75</v>
      </c>
      <c r="K22" s="252">
        <v>284750</v>
      </c>
    </row>
    <row r="23" spans="1:11" x14ac:dyDescent="0.25">
      <c r="A23" s="249" t="s">
        <v>355</v>
      </c>
      <c r="B23" s="249" t="s">
        <v>97</v>
      </c>
      <c r="C23" s="250" t="s">
        <v>399</v>
      </c>
      <c r="D23" s="251" t="s">
        <v>401</v>
      </c>
      <c r="E23" s="252">
        <v>2278000</v>
      </c>
      <c r="F23" s="253">
        <v>2</v>
      </c>
      <c r="G23" s="253">
        <v>1</v>
      </c>
      <c r="H23" s="253">
        <v>2</v>
      </c>
      <c r="I23" s="252">
        <v>4556000</v>
      </c>
      <c r="J23" s="254">
        <v>0.75</v>
      </c>
      <c r="K23" s="252">
        <v>1139000</v>
      </c>
    </row>
    <row r="24" spans="1:11" x14ac:dyDescent="0.25">
      <c r="A24" s="249" t="s">
        <v>355</v>
      </c>
      <c r="B24" s="249" t="s">
        <v>97</v>
      </c>
      <c r="C24" s="250" t="s">
        <v>399</v>
      </c>
      <c r="D24" s="251" t="s">
        <v>402</v>
      </c>
      <c r="E24" s="252">
        <v>477000</v>
      </c>
      <c r="F24" s="253">
        <v>4</v>
      </c>
      <c r="G24" s="253">
        <v>1</v>
      </c>
      <c r="H24" s="253">
        <v>4</v>
      </c>
      <c r="I24" s="252">
        <v>1908000</v>
      </c>
      <c r="J24" s="254">
        <v>0.75</v>
      </c>
      <c r="K24" s="252">
        <v>477000</v>
      </c>
    </row>
    <row r="25" spans="1:11" x14ac:dyDescent="0.25">
      <c r="A25" s="249" t="s">
        <v>355</v>
      </c>
      <c r="B25" s="249" t="s">
        <v>97</v>
      </c>
      <c r="C25" s="250" t="s">
        <v>399</v>
      </c>
      <c r="D25" s="251" t="s">
        <v>403</v>
      </c>
      <c r="E25" s="252">
        <v>417000</v>
      </c>
      <c r="F25" s="253">
        <v>6</v>
      </c>
      <c r="G25" s="253">
        <v>1</v>
      </c>
      <c r="H25" s="253">
        <v>6</v>
      </c>
      <c r="I25" s="252">
        <v>2502000</v>
      </c>
      <c r="J25" s="254">
        <v>0.75</v>
      </c>
      <c r="K25" s="252">
        <v>625500</v>
      </c>
    </row>
    <row r="26" spans="1:11" x14ac:dyDescent="0.25">
      <c r="A26" s="249" t="s">
        <v>355</v>
      </c>
      <c r="B26" s="249" t="s">
        <v>97</v>
      </c>
      <c r="C26" s="250" t="s">
        <v>399</v>
      </c>
      <c r="D26" s="251" t="s">
        <v>404</v>
      </c>
      <c r="E26" s="252">
        <v>278000</v>
      </c>
      <c r="F26" s="253">
        <v>10</v>
      </c>
      <c r="G26" s="253">
        <v>1</v>
      </c>
      <c r="H26" s="253">
        <v>10</v>
      </c>
      <c r="I26" s="252">
        <v>2780000</v>
      </c>
      <c r="J26" s="254">
        <v>0.75</v>
      </c>
      <c r="K26" s="252">
        <v>695000</v>
      </c>
    </row>
    <row r="27" spans="1:11" x14ac:dyDescent="0.25">
      <c r="A27" s="249" t="s">
        <v>355</v>
      </c>
      <c r="B27" s="249" t="s">
        <v>97</v>
      </c>
      <c r="C27" s="250" t="s">
        <v>399</v>
      </c>
      <c r="D27" s="251" t="s">
        <v>405</v>
      </c>
      <c r="E27" s="252">
        <v>779000</v>
      </c>
      <c r="F27" s="253">
        <v>4</v>
      </c>
      <c r="G27" s="253">
        <v>1</v>
      </c>
      <c r="H27" s="253">
        <v>4</v>
      </c>
      <c r="I27" s="252">
        <v>3116000</v>
      </c>
      <c r="J27" s="254">
        <v>0.75</v>
      </c>
      <c r="K27" s="252">
        <v>779000</v>
      </c>
    </row>
    <row r="28" spans="1:11" ht="15.75" thickBot="1" x14ac:dyDescent="0.3">
      <c r="A28" s="450" t="s">
        <v>406</v>
      </c>
      <c r="B28" s="451"/>
      <c r="C28" s="451"/>
      <c r="D28" s="451"/>
      <c r="E28" s="451"/>
      <c r="F28" s="451"/>
      <c r="G28" s="451"/>
      <c r="H28" s="451"/>
      <c r="I28" s="451"/>
      <c r="J28" s="451"/>
      <c r="K28" s="451"/>
    </row>
    <row r="29" spans="1:11" x14ac:dyDescent="0.25">
      <c r="A29" s="255" t="s">
        <v>11</v>
      </c>
      <c r="B29" s="255" t="s">
        <v>97</v>
      </c>
      <c r="C29" s="250" t="s">
        <v>87</v>
      </c>
      <c r="D29" s="256" t="s">
        <v>98</v>
      </c>
      <c r="E29" s="252">
        <v>3416400</v>
      </c>
      <c r="F29" s="253">
        <v>1</v>
      </c>
      <c r="G29" s="253">
        <v>1</v>
      </c>
      <c r="H29" s="253">
        <v>1</v>
      </c>
      <c r="I29" s="252">
        <v>3416400</v>
      </c>
      <c r="J29" s="254">
        <v>0.8</v>
      </c>
      <c r="K29" s="252">
        <v>683280</v>
      </c>
    </row>
    <row r="30" spans="1:11" x14ac:dyDescent="0.25">
      <c r="A30" s="255" t="s">
        <v>11</v>
      </c>
      <c r="B30" s="255" t="s">
        <v>78</v>
      </c>
      <c r="C30" s="250" t="s">
        <v>78</v>
      </c>
      <c r="D30" s="256" t="s">
        <v>79</v>
      </c>
      <c r="E30" s="252">
        <v>2280000</v>
      </c>
      <c r="F30" s="253">
        <v>1</v>
      </c>
      <c r="G30" s="253">
        <v>1</v>
      </c>
      <c r="H30" s="253">
        <v>1</v>
      </c>
      <c r="I30" s="252">
        <v>2280000</v>
      </c>
      <c r="J30" s="254">
        <v>0</v>
      </c>
      <c r="K30" s="252">
        <v>2280000</v>
      </c>
    </row>
    <row r="31" spans="1:11" x14ac:dyDescent="0.25">
      <c r="A31" s="255" t="s">
        <v>11</v>
      </c>
      <c r="B31" s="255" t="s">
        <v>78</v>
      </c>
      <c r="C31" s="250" t="s">
        <v>78</v>
      </c>
      <c r="D31" s="256" t="s">
        <v>80</v>
      </c>
      <c r="E31" s="252">
        <v>1710000</v>
      </c>
      <c r="F31" s="253">
        <v>1</v>
      </c>
      <c r="G31" s="253">
        <v>1</v>
      </c>
      <c r="H31" s="253">
        <v>1</v>
      </c>
      <c r="I31" s="252">
        <v>1710000</v>
      </c>
      <c r="J31" s="254">
        <v>0.35</v>
      </c>
      <c r="K31" s="252">
        <v>1111500</v>
      </c>
    </row>
    <row r="32" spans="1:11" x14ac:dyDescent="0.25">
      <c r="A32" s="255" t="s">
        <v>11</v>
      </c>
      <c r="B32" s="255" t="s">
        <v>78</v>
      </c>
      <c r="C32" s="250" t="s">
        <v>78</v>
      </c>
      <c r="D32" s="256" t="s">
        <v>81</v>
      </c>
      <c r="E32" s="252">
        <v>2462400</v>
      </c>
      <c r="F32" s="253">
        <v>1</v>
      </c>
      <c r="G32" s="253">
        <v>1</v>
      </c>
      <c r="H32" s="253">
        <v>1</v>
      </c>
      <c r="I32" s="252">
        <v>2462400</v>
      </c>
      <c r="J32" s="254">
        <v>0.32</v>
      </c>
      <c r="K32" s="252">
        <v>1666396</v>
      </c>
    </row>
    <row r="33" spans="1:11" x14ac:dyDescent="0.25">
      <c r="A33" s="249" t="s">
        <v>11</v>
      </c>
      <c r="B33" s="249" t="s">
        <v>78</v>
      </c>
      <c r="C33" s="250" t="s">
        <v>399</v>
      </c>
      <c r="D33" s="251" t="s">
        <v>83</v>
      </c>
      <c r="E33" s="252">
        <v>5016000</v>
      </c>
      <c r="F33" s="253">
        <v>1</v>
      </c>
      <c r="G33" s="253">
        <v>1</v>
      </c>
      <c r="H33" s="253">
        <v>1</v>
      </c>
      <c r="I33" s="252">
        <v>5016000</v>
      </c>
      <c r="J33" s="254">
        <v>0.01</v>
      </c>
      <c r="K33" s="252">
        <v>4958824</v>
      </c>
    </row>
    <row r="34" spans="1:11" ht="15.75" thickBot="1" x14ac:dyDescent="0.3">
      <c r="A34" s="245"/>
      <c r="B34" s="245"/>
      <c r="C34" s="245"/>
      <c r="D34" s="245"/>
      <c r="E34" s="245"/>
      <c r="F34" s="245"/>
      <c r="G34" s="245"/>
      <c r="H34" s="245"/>
      <c r="I34" s="257">
        <v>29746800</v>
      </c>
      <c r="J34" s="245"/>
      <c r="K34" s="257">
        <v>14700250</v>
      </c>
    </row>
    <row r="36" spans="1:11" ht="27" thickBot="1" x14ac:dyDescent="0.45">
      <c r="A36" s="452" t="s">
        <v>408</v>
      </c>
      <c r="B36" s="453"/>
      <c r="C36" s="453"/>
      <c r="D36" s="453"/>
      <c r="E36" s="453"/>
      <c r="F36" s="453"/>
      <c r="G36" s="453"/>
      <c r="H36" s="453"/>
      <c r="I36" s="453"/>
      <c r="J36" s="453"/>
      <c r="K36" s="453"/>
    </row>
    <row r="37" spans="1:11" ht="15.75" thickBot="1" x14ac:dyDescent="0.3">
      <c r="A37" s="49" t="s">
        <v>63</v>
      </c>
      <c r="B37" s="50" t="s">
        <v>64</v>
      </c>
      <c r="C37" s="50" t="s">
        <v>65</v>
      </c>
      <c r="D37" s="50" t="s">
        <v>66</v>
      </c>
      <c r="E37" s="50" t="s">
        <v>398</v>
      </c>
      <c r="F37" s="50" t="s">
        <v>94</v>
      </c>
      <c r="G37" s="50" t="s">
        <v>69</v>
      </c>
      <c r="H37" s="50" t="s">
        <v>70</v>
      </c>
      <c r="I37" s="50" t="s">
        <v>71</v>
      </c>
      <c r="J37" s="50" t="s">
        <v>72</v>
      </c>
      <c r="K37" s="51" t="s">
        <v>73</v>
      </c>
    </row>
    <row r="38" spans="1:11" x14ac:dyDescent="0.25">
      <c r="A38" s="249" t="s">
        <v>10</v>
      </c>
      <c r="B38" s="249" t="s">
        <v>92</v>
      </c>
      <c r="C38" s="250" t="s">
        <v>399</v>
      </c>
      <c r="D38" s="251" t="s">
        <v>400</v>
      </c>
      <c r="E38" s="252">
        <v>2070000</v>
      </c>
      <c r="F38" s="258">
        <v>1</v>
      </c>
      <c r="G38" s="258">
        <v>1</v>
      </c>
      <c r="H38" s="258">
        <v>1</v>
      </c>
      <c r="I38" s="252">
        <v>2070000</v>
      </c>
      <c r="J38" s="254">
        <v>0.75</v>
      </c>
      <c r="K38" s="252">
        <v>517500</v>
      </c>
    </row>
    <row r="39" spans="1:11" x14ac:dyDescent="0.25">
      <c r="A39" s="249" t="s">
        <v>10</v>
      </c>
      <c r="B39" s="249" t="s">
        <v>92</v>
      </c>
      <c r="C39" s="250" t="s">
        <v>399</v>
      </c>
      <c r="D39" s="251" t="s">
        <v>409</v>
      </c>
      <c r="E39" s="252">
        <v>4140000</v>
      </c>
      <c r="F39" s="258">
        <v>2</v>
      </c>
      <c r="G39" s="258">
        <v>1</v>
      </c>
      <c r="H39" s="258">
        <v>2</v>
      </c>
      <c r="I39" s="252">
        <v>8280000</v>
      </c>
      <c r="J39" s="254">
        <v>0.75</v>
      </c>
      <c r="K39" s="252">
        <v>2070000</v>
      </c>
    </row>
    <row r="40" spans="1:11" x14ac:dyDescent="0.25">
      <c r="A40" s="249" t="s">
        <v>10</v>
      </c>
      <c r="B40" s="249" t="s">
        <v>92</v>
      </c>
      <c r="C40" s="250" t="s">
        <v>399</v>
      </c>
      <c r="D40" s="251" t="s">
        <v>402</v>
      </c>
      <c r="E40" s="252">
        <v>864000</v>
      </c>
      <c r="F40" s="258">
        <v>4</v>
      </c>
      <c r="G40" s="258">
        <v>1</v>
      </c>
      <c r="H40" s="258">
        <v>4</v>
      </c>
      <c r="I40" s="252">
        <v>3456000</v>
      </c>
      <c r="J40" s="254">
        <v>0.75</v>
      </c>
      <c r="K40" s="252">
        <v>864000</v>
      </c>
    </row>
    <row r="41" spans="1:11" x14ac:dyDescent="0.25">
      <c r="A41" s="249" t="s">
        <v>10</v>
      </c>
      <c r="B41" s="249" t="s">
        <v>92</v>
      </c>
      <c r="C41" s="250" t="s">
        <v>399</v>
      </c>
      <c r="D41" s="251" t="s">
        <v>403</v>
      </c>
      <c r="E41" s="252">
        <v>734250</v>
      </c>
      <c r="F41" s="258">
        <v>6</v>
      </c>
      <c r="G41" s="258">
        <v>1</v>
      </c>
      <c r="H41" s="258">
        <v>6</v>
      </c>
      <c r="I41" s="252">
        <v>4405500</v>
      </c>
      <c r="J41" s="254">
        <v>0.75</v>
      </c>
      <c r="K41" s="252">
        <v>1101375</v>
      </c>
    </row>
    <row r="42" spans="1:11" x14ac:dyDescent="0.25">
      <c r="A42" s="249" t="s">
        <v>10</v>
      </c>
      <c r="B42" s="249" t="s">
        <v>92</v>
      </c>
      <c r="C42" s="250" t="s">
        <v>399</v>
      </c>
      <c r="D42" s="251" t="s">
        <v>404</v>
      </c>
      <c r="E42" s="252">
        <v>489500</v>
      </c>
      <c r="F42" s="258">
        <v>10</v>
      </c>
      <c r="G42" s="258">
        <v>1</v>
      </c>
      <c r="H42" s="258">
        <v>10</v>
      </c>
      <c r="I42" s="252">
        <v>4895000</v>
      </c>
      <c r="J42" s="254">
        <v>0.75</v>
      </c>
      <c r="K42" s="252">
        <v>1223750</v>
      </c>
    </row>
    <row r="43" spans="1:11" x14ac:dyDescent="0.25">
      <c r="A43" s="249" t="s">
        <v>10</v>
      </c>
      <c r="B43" s="249" t="s">
        <v>92</v>
      </c>
      <c r="C43" s="250" t="s">
        <v>399</v>
      </c>
      <c r="D43" s="251" t="s">
        <v>405</v>
      </c>
      <c r="E43" s="252">
        <v>1241000</v>
      </c>
      <c r="F43" s="258">
        <v>4</v>
      </c>
      <c r="G43" s="258">
        <v>1</v>
      </c>
      <c r="H43" s="258">
        <v>4</v>
      </c>
      <c r="I43" s="252">
        <v>4964000</v>
      </c>
      <c r="J43" s="254">
        <v>0.75</v>
      </c>
      <c r="K43" s="252">
        <v>1241000</v>
      </c>
    </row>
    <row r="44" spans="1:11" x14ac:dyDescent="0.25">
      <c r="A44" s="259" t="s">
        <v>10</v>
      </c>
      <c r="B44" s="249" t="s">
        <v>92</v>
      </c>
      <c r="C44" s="250" t="s">
        <v>93</v>
      </c>
      <c r="D44" s="256" t="s">
        <v>77</v>
      </c>
      <c r="E44" s="252">
        <v>4140000</v>
      </c>
      <c r="F44" s="258">
        <v>1</v>
      </c>
      <c r="G44" s="258">
        <v>1</v>
      </c>
      <c r="H44" s="258">
        <v>1</v>
      </c>
      <c r="I44" s="252">
        <v>4140000</v>
      </c>
      <c r="J44" s="254">
        <v>0.7</v>
      </c>
      <c r="K44" s="252">
        <v>1242000</v>
      </c>
    </row>
    <row r="45" spans="1:11" ht="15.75" thickBot="1" x14ac:dyDescent="0.3">
      <c r="A45" s="450" t="s">
        <v>410</v>
      </c>
      <c r="B45" s="451"/>
      <c r="C45" s="451"/>
      <c r="D45" s="451"/>
      <c r="E45" s="451"/>
      <c r="F45" s="451"/>
      <c r="G45" s="451"/>
      <c r="H45" s="451"/>
      <c r="I45" s="451"/>
      <c r="J45" s="451"/>
      <c r="K45" s="451"/>
    </row>
    <row r="46" spans="1:11" x14ac:dyDescent="0.25">
      <c r="A46" s="255" t="s">
        <v>10</v>
      </c>
      <c r="B46" s="255" t="s">
        <v>92</v>
      </c>
      <c r="C46" s="250" t="s">
        <v>93</v>
      </c>
      <c r="D46" s="260" t="s">
        <v>77</v>
      </c>
      <c r="E46" s="252">
        <v>5448300</v>
      </c>
      <c r="F46" s="261">
        <v>1</v>
      </c>
      <c r="G46" s="261">
        <v>1</v>
      </c>
      <c r="H46" s="261">
        <v>1</v>
      </c>
      <c r="I46" s="262">
        <v>5448300</v>
      </c>
      <c r="J46" s="263">
        <v>0.7</v>
      </c>
      <c r="K46" s="252">
        <v>1634490</v>
      </c>
    </row>
    <row r="47" spans="1:11" x14ac:dyDescent="0.25">
      <c r="A47" s="255" t="s">
        <v>10</v>
      </c>
      <c r="B47" s="255" t="s">
        <v>78</v>
      </c>
      <c r="C47" s="250" t="s">
        <v>78</v>
      </c>
      <c r="D47" s="260" t="s">
        <v>79</v>
      </c>
      <c r="E47" s="252">
        <v>2280000</v>
      </c>
      <c r="F47" s="261">
        <v>1</v>
      </c>
      <c r="G47" s="261">
        <v>1</v>
      </c>
      <c r="H47" s="261">
        <v>1</v>
      </c>
      <c r="I47" s="262">
        <v>2280000</v>
      </c>
      <c r="J47" s="263">
        <v>0</v>
      </c>
      <c r="K47" s="252">
        <v>2280000</v>
      </c>
    </row>
    <row r="48" spans="1:11" x14ac:dyDescent="0.25">
      <c r="A48" s="255" t="s">
        <v>10</v>
      </c>
      <c r="B48" s="255" t="s">
        <v>78</v>
      </c>
      <c r="C48" s="250" t="s">
        <v>78</v>
      </c>
      <c r="D48" s="256" t="s">
        <v>80</v>
      </c>
      <c r="E48" s="252">
        <v>2462400</v>
      </c>
      <c r="F48" s="261">
        <v>1</v>
      </c>
      <c r="G48" s="261">
        <v>1</v>
      </c>
      <c r="H48" s="261">
        <v>1</v>
      </c>
      <c r="I48" s="262">
        <v>2462400</v>
      </c>
      <c r="J48" s="263">
        <v>0.45</v>
      </c>
      <c r="K48" s="252">
        <v>1354320</v>
      </c>
    </row>
    <row r="49" spans="1:11" x14ac:dyDescent="0.25">
      <c r="A49" s="255" t="s">
        <v>10</v>
      </c>
      <c r="B49" s="255" t="s">
        <v>78</v>
      </c>
      <c r="C49" s="250" t="s">
        <v>78</v>
      </c>
      <c r="D49" s="256" t="s">
        <v>81</v>
      </c>
      <c r="E49" s="252">
        <v>7410000</v>
      </c>
      <c r="F49" s="261">
        <v>1</v>
      </c>
      <c r="G49" s="261">
        <v>1</v>
      </c>
      <c r="H49" s="261">
        <v>1</v>
      </c>
      <c r="I49" s="262">
        <v>7410000</v>
      </c>
      <c r="J49" s="263">
        <v>0.45</v>
      </c>
      <c r="K49" s="252">
        <v>4075500</v>
      </c>
    </row>
    <row r="50" spans="1:11" x14ac:dyDescent="0.25">
      <c r="A50" s="255" t="s">
        <v>10</v>
      </c>
      <c r="B50" s="255" t="s">
        <v>78</v>
      </c>
      <c r="C50" s="250" t="s">
        <v>78</v>
      </c>
      <c r="D50" s="256" t="s">
        <v>83</v>
      </c>
      <c r="E50" s="264">
        <v>5016000</v>
      </c>
      <c r="F50" s="261">
        <v>1</v>
      </c>
      <c r="G50" s="261">
        <v>1</v>
      </c>
      <c r="H50" s="261">
        <v>1</v>
      </c>
      <c r="I50" s="262">
        <v>5016000</v>
      </c>
      <c r="J50" s="254">
        <v>0.01</v>
      </c>
      <c r="K50" s="252">
        <v>4955690</v>
      </c>
    </row>
    <row r="51" spans="1:11" x14ac:dyDescent="0.25">
      <c r="A51" s="259" t="s">
        <v>10</v>
      </c>
      <c r="B51" s="249" t="s">
        <v>78</v>
      </c>
      <c r="C51" s="250" t="s">
        <v>78</v>
      </c>
      <c r="D51" s="251" t="s">
        <v>411</v>
      </c>
      <c r="E51" s="252">
        <v>1110000</v>
      </c>
      <c r="F51" s="253">
        <v>1</v>
      </c>
      <c r="G51" s="253">
        <v>1</v>
      </c>
      <c r="H51" s="253">
        <v>1</v>
      </c>
      <c r="I51" s="252">
        <v>1110000</v>
      </c>
      <c r="J51" s="254">
        <v>0</v>
      </c>
      <c r="K51" s="252">
        <v>1110000</v>
      </c>
    </row>
    <row r="52" spans="1:11" ht="15.75" thickBot="1" x14ac:dyDescent="0.3">
      <c r="A52" s="245"/>
      <c r="B52" s="245"/>
      <c r="C52" s="245"/>
      <c r="D52" s="245"/>
      <c r="E52" s="245"/>
      <c r="F52" s="245"/>
      <c r="G52" s="245"/>
      <c r="H52" s="245"/>
      <c r="I52" s="257">
        <v>53867200</v>
      </c>
      <c r="J52" s="245"/>
      <c r="K52" s="257">
        <v>23669625</v>
      </c>
    </row>
    <row r="55" spans="1:11" ht="27" thickBot="1" x14ac:dyDescent="0.45">
      <c r="A55" s="452" t="s">
        <v>415</v>
      </c>
      <c r="B55" s="453"/>
      <c r="C55" s="453"/>
      <c r="D55" s="453"/>
      <c r="E55" s="453"/>
      <c r="F55" s="453"/>
      <c r="G55" s="453"/>
      <c r="H55" s="453"/>
      <c r="I55" s="453"/>
      <c r="J55" s="453"/>
      <c r="K55" s="453"/>
    </row>
    <row r="56" spans="1:11" ht="15.75" thickBot="1" x14ac:dyDescent="0.3">
      <c r="A56" s="49" t="s">
        <v>63</v>
      </c>
      <c r="B56" s="50" t="s">
        <v>64</v>
      </c>
      <c r="C56" s="50" t="s">
        <v>65</v>
      </c>
      <c r="D56" s="50" t="s">
        <v>66</v>
      </c>
      <c r="E56" s="50" t="s">
        <v>398</v>
      </c>
      <c r="F56" s="50" t="s">
        <v>94</v>
      </c>
      <c r="G56" s="50" t="s">
        <v>69</v>
      </c>
      <c r="H56" s="50" t="s">
        <v>70</v>
      </c>
      <c r="I56" s="50" t="s">
        <v>71</v>
      </c>
      <c r="J56" s="50" t="s">
        <v>72</v>
      </c>
      <c r="K56" s="51" t="s">
        <v>73</v>
      </c>
    </row>
    <row r="57" spans="1:11" x14ac:dyDescent="0.25">
      <c r="A57" s="249" t="s">
        <v>10</v>
      </c>
      <c r="B57" s="249" t="s">
        <v>92</v>
      </c>
      <c r="C57" s="250" t="s">
        <v>399</v>
      </c>
      <c r="D57" s="251" t="s">
        <v>400</v>
      </c>
      <c r="E57" s="252">
        <v>2070000</v>
      </c>
      <c r="F57" s="253">
        <v>1</v>
      </c>
      <c r="G57" s="253">
        <v>1</v>
      </c>
      <c r="H57" s="253">
        <v>1</v>
      </c>
      <c r="I57" s="252">
        <v>2070000</v>
      </c>
      <c r="J57" s="254">
        <v>0.75</v>
      </c>
      <c r="K57" s="252">
        <v>517500</v>
      </c>
    </row>
    <row r="58" spans="1:11" x14ac:dyDescent="0.25">
      <c r="A58" s="249" t="s">
        <v>10</v>
      </c>
      <c r="B58" s="249" t="s">
        <v>92</v>
      </c>
      <c r="C58" s="250" t="s">
        <v>399</v>
      </c>
      <c r="D58" s="251" t="s">
        <v>409</v>
      </c>
      <c r="E58" s="252">
        <v>4140000</v>
      </c>
      <c r="F58" s="253">
        <v>2</v>
      </c>
      <c r="G58" s="253">
        <v>1</v>
      </c>
      <c r="H58" s="253">
        <v>2</v>
      </c>
      <c r="I58" s="252">
        <v>8280000</v>
      </c>
      <c r="J58" s="254">
        <v>0.75</v>
      </c>
      <c r="K58" s="252">
        <v>2070000</v>
      </c>
    </row>
    <row r="59" spans="1:11" x14ac:dyDescent="0.25">
      <c r="A59" s="249" t="s">
        <v>10</v>
      </c>
      <c r="B59" s="249" t="s">
        <v>92</v>
      </c>
      <c r="C59" s="250" t="s">
        <v>399</v>
      </c>
      <c r="D59" s="251" t="s">
        <v>402</v>
      </c>
      <c r="E59" s="252">
        <v>864000</v>
      </c>
      <c r="F59" s="253">
        <v>4</v>
      </c>
      <c r="G59" s="253">
        <v>1</v>
      </c>
      <c r="H59" s="253">
        <v>4</v>
      </c>
      <c r="I59" s="252">
        <v>3456000</v>
      </c>
      <c r="J59" s="254">
        <v>0.75</v>
      </c>
      <c r="K59" s="252">
        <v>864000</v>
      </c>
    </row>
    <row r="60" spans="1:11" x14ac:dyDescent="0.25">
      <c r="A60" s="249" t="s">
        <v>10</v>
      </c>
      <c r="B60" s="249" t="s">
        <v>92</v>
      </c>
      <c r="C60" s="250" t="s">
        <v>399</v>
      </c>
      <c r="D60" s="251" t="s">
        <v>403</v>
      </c>
      <c r="E60" s="252">
        <v>734250</v>
      </c>
      <c r="F60" s="253">
        <v>6</v>
      </c>
      <c r="G60" s="253">
        <v>1</v>
      </c>
      <c r="H60" s="253">
        <v>6</v>
      </c>
      <c r="I60" s="252">
        <v>4405500</v>
      </c>
      <c r="J60" s="254">
        <v>0.75</v>
      </c>
      <c r="K60" s="252">
        <v>1101375</v>
      </c>
    </row>
    <row r="61" spans="1:11" x14ac:dyDescent="0.25">
      <c r="A61" s="249" t="s">
        <v>10</v>
      </c>
      <c r="B61" s="249" t="s">
        <v>92</v>
      </c>
      <c r="C61" s="250" t="s">
        <v>399</v>
      </c>
      <c r="D61" s="251" t="s">
        <v>404</v>
      </c>
      <c r="E61" s="252">
        <v>489500</v>
      </c>
      <c r="F61" s="253">
        <v>10</v>
      </c>
      <c r="G61" s="253">
        <v>1</v>
      </c>
      <c r="H61" s="253">
        <v>10</v>
      </c>
      <c r="I61" s="252">
        <v>4895000</v>
      </c>
      <c r="J61" s="254">
        <v>0.75</v>
      </c>
      <c r="K61" s="252">
        <v>1223750</v>
      </c>
    </row>
    <row r="62" spans="1:11" x14ac:dyDescent="0.25">
      <c r="A62" s="249" t="s">
        <v>10</v>
      </c>
      <c r="B62" s="249" t="s">
        <v>92</v>
      </c>
      <c r="C62" s="250" t="s">
        <v>399</v>
      </c>
      <c r="D62" s="251" t="s">
        <v>405</v>
      </c>
      <c r="E62" s="252">
        <v>1241000</v>
      </c>
      <c r="F62" s="253">
        <v>4</v>
      </c>
      <c r="G62" s="253">
        <v>1</v>
      </c>
      <c r="H62" s="253">
        <v>4</v>
      </c>
      <c r="I62" s="252">
        <v>4964000</v>
      </c>
      <c r="J62" s="254">
        <v>0.75</v>
      </c>
      <c r="K62" s="252">
        <v>1241000</v>
      </c>
    </row>
    <row r="63" spans="1:11" x14ac:dyDescent="0.25">
      <c r="A63" s="259" t="s">
        <v>10</v>
      </c>
      <c r="B63" s="249" t="s">
        <v>92</v>
      </c>
      <c r="C63" s="250" t="s">
        <v>93</v>
      </c>
      <c r="D63" s="256" t="s">
        <v>77</v>
      </c>
      <c r="E63" s="252">
        <v>4140000</v>
      </c>
      <c r="F63" s="253">
        <v>1</v>
      </c>
      <c r="G63" s="253">
        <v>1</v>
      </c>
      <c r="H63" s="253">
        <v>1</v>
      </c>
      <c r="I63" s="252">
        <v>4140000</v>
      </c>
      <c r="J63" s="254">
        <v>0.7</v>
      </c>
      <c r="K63" s="252">
        <v>1242000</v>
      </c>
    </row>
    <row r="64" spans="1:11" ht="15.75" thickBot="1" x14ac:dyDescent="0.3">
      <c r="A64" s="450" t="s">
        <v>410</v>
      </c>
      <c r="B64" s="451"/>
      <c r="C64" s="451"/>
      <c r="D64" s="451"/>
      <c r="E64" s="451"/>
      <c r="F64" s="451"/>
      <c r="G64" s="451"/>
      <c r="H64" s="451"/>
      <c r="I64" s="451"/>
      <c r="J64" s="451"/>
      <c r="K64" s="451"/>
    </row>
    <row r="65" spans="1:11" x14ac:dyDescent="0.25">
      <c r="A65" s="255" t="s">
        <v>10</v>
      </c>
      <c r="B65" s="255" t="s">
        <v>92</v>
      </c>
      <c r="C65" s="250" t="s">
        <v>93</v>
      </c>
      <c r="D65" s="260" t="s">
        <v>77</v>
      </c>
      <c r="E65" s="252">
        <v>5448300</v>
      </c>
      <c r="F65" s="261">
        <v>1</v>
      </c>
      <c r="G65" s="261">
        <v>1</v>
      </c>
      <c r="H65" s="261">
        <v>1</v>
      </c>
      <c r="I65" s="262">
        <v>5448300</v>
      </c>
      <c r="J65" s="263">
        <v>0.7</v>
      </c>
      <c r="K65" s="252">
        <v>1634490</v>
      </c>
    </row>
    <row r="66" spans="1:11" x14ac:dyDescent="0.25">
      <c r="A66" s="255" t="s">
        <v>10</v>
      </c>
      <c r="B66" s="255" t="s">
        <v>78</v>
      </c>
      <c r="C66" s="250" t="s">
        <v>78</v>
      </c>
      <c r="D66" s="260" t="s">
        <v>79</v>
      </c>
      <c r="E66" s="252">
        <v>2280000</v>
      </c>
      <c r="F66" s="261">
        <v>1</v>
      </c>
      <c r="G66" s="261">
        <v>1</v>
      </c>
      <c r="H66" s="261">
        <v>1</v>
      </c>
      <c r="I66" s="262">
        <v>2280000</v>
      </c>
      <c r="J66" s="263">
        <v>0</v>
      </c>
      <c r="K66" s="252">
        <v>2280000</v>
      </c>
    </row>
    <row r="67" spans="1:11" x14ac:dyDescent="0.25">
      <c r="A67" s="255" t="s">
        <v>10</v>
      </c>
      <c r="B67" s="255" t="s">
        <v>78</v>
      </c>
      <c r="C67" s="250" t="s">
        <v>78</v>
      </c>
      <c r="D67" s="256" t="s">
        <v>80</v>
      </c>
      <c r="E67" s="252">
        <v>2462400</v>
      </c>
      <c r="F67" s="261">
        <v>1</v>
      </c>
      <c r="G67" s="261">
        <v>1</v>
      </c>
      <c r="H67" s="261">
        <v>1</v>
      </c>
      <c r="I67" s="262">
        <v>2462400</v>
      </c>
      <c r="J67" s="263">
        <v>0.45</v>
      </c>
      <c r="K67" s="252">
        <v>1354320</v>
      </c>
    </row>
    <row r="68" spans="1:11" x14ac:dyDescent="0.25">
      <c r="A68" s="255" t="s">
        <v>10</v>
      </c>
      <c r="B68" s="255" t="s">
        <v>78</v>
      </c>
      <c r="C68" s="250" t="s">
        <v>78</v>
      </c>
      <c r="D68" s="256" t="s">
        <v>81</v>
      </c>
      <c r="E68" s="252">
        <v>7410000</v>
      </c>
      <c r="F68" s="261">
        <v>1</v>
      </c>
      <c r="G68" s="261">
        <v>1</v>
      </c>
      <c r="H68" s="261">
        <v>1</v>
      </c>
      <c r="I68" s="262">
        <v>7410000</v>
      </c>
      <c r="J68" s="263">
        <v>0.45</v>
      </c>
      <c r="K68" s="252">
        <v>4075500</v>
      </c>
    </row>
    <row r="69" spans="1:11" x14ac:dyDescent="0.25">
      <c r="A69" s="255" t="s">
        <v>10</v>
      </c>
      <c r="B69" s="255" t="s">
        <v>78</v>
      </c>
      <c r="C69" s="250" t="s">
        <v>78</v>
      </c>
      <c r="D69" s="256" t="s">
        <v>83</v>
      </c>
      <c r="E69" s="264">
        <v>5016000</v>
      </c>
      <c r="F69" s="261">
        <v>1</v>
      </c>
      <c r="G69" s="261">
        <v>1</v>
      </c>
      <c r="H69" s="261">
        <v>1</v>
      </c>
      <c r="I69" s="262">
        <v>5016000</v>
      </c>
      <c r="J69" s="254">
        <v>0.01</v>
      </c>
      <c r="K69" s="252">
        <v>4955690</v>
      </c>
    </row>
    <row r="70" spans="1:11" x14ac:dyDescent="0.25">
      <c r="A70" s="259" t="s">
        <v>10</v>
      </c>
      <c r="B70" s="249" t="s">
        <v>78</v>
      </c>
      <c r="C70" s="250" t="s">
        <v>78</v>
      </c>
      <c r="D70" s="251" t="s">
        <v>411</v>
      </c>
      <c r="E70" s="252">
        <v>1110000</v>
      </c>
      <c r="F70" s="253">
        <v>1</v>
      </c>
      <c r="G70" s="253">
        <v>1</v>
      </c>
      <c r="H70" s="253">
        <v>1</v>
      </c>
      <c r="I70" s="252">
        <v>1110000</v>
      </c>
      <c r="J70" s="254">
        <v>0</v>
      </c>
      <c r="K70" s="252">
        <v>1110000</v>
      </c>
    </row>
    <row r="71" spans="1:11" x14ac:dyDescent="0.25">
      <c r="A71" s="442" t="s">
        <v>393</v>
      </c>
      <c r="B71" s="443"/>
      <c r="C71" s="443"/>
      <c r="D71" s="443"/>
      <c r="E71" s="443"/>
      <c r="F71" s="443"/>
      <c r="G71" s="443"/>
      <c r="H71" s="443"/>
      <c r="I71" s="443"/>
      <c r="J71" s="443"/>
      <c r="K71" s="443"/>
    </row>
    <row r="72" spans="1:11" x14ac:dyDescent="0.25">
      <c r="A72" s="265" t="s">
        <v>10</v>
      </c>
      <c r="B72" s="265" t="s">
        <v>97</v>
      </c>
      <c r="C72" s="266" t="s">
        <v>93</v>
      </c>
      <c r="D72" s="266" t="s">
        <v>395</v>
      </c>
      <c r="E72" s="267">
        <v>10000000</v>
      </c>
      <c r="F72" s="268">
        <v>1</v>
      </c>
      <c r="G72" s="268">
        <v>1</v>
      </c>
      <c r="H72" s="268">
        <v>1</v>
      </c>
      <c r="I72" s="267">
        <v>10000000</v>
      </c>
      <c r="J72" s="269"/>
      <c r="K72" s="267">
        <v>10000000</v>
      </c>
    </row>
    <row r="73" spans="1:11" ht="15.75" thickBot="1" x14ac:dyDescent="0.3">
      <c r="A73" s="245"/>
      <c r="B73" s="245"/>
      <c r="C73" s="245"/>
      <c r="D73" s="245"/>
      <c r="E73" s="245"/>
      <c r="F73" s="245"/>
      <c r="G73" s="245"/>
      <c r="H73" s="245"/>
      <c r="I73" s="257">
        <v>53867200</v>
      </c>
      <c r="J73" s="245"/>
      <c r="K73" s="257">
        <v>33669625</v>
      </c>
    </row>
  </sheetData>
  <mergeCells count="10">
    <mergeCell ref="A45:K45"/>
    <mergeCell ref="A55:K55"/>
    <mergeCell ref="A64:K64"/>
    <mergeCell ref="A71:K71"/>
    <mergeCell ref="A2:K2"/>
    <mergeCell ref="A10:K10"/>
    <mergeCell ref="A16:K16"/>
    <mergeCell ref="A20:K20"/>
    <mergeCell ref="A28:K28"/>
    <mergeCell ref="A36:K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EFAF-A558-4FEB-96CF-BF459B4357BC}">
  <dimension ref="B1:L33"/>
  <sheetViews>
    <sheetView topLeftCell="A15" workbookViewId="0">
      <selection activeCell="F33" sqref="F33"/>
    </sheetView>
  </sheetViews>
  <sheetFormatPr baseColWidth="10" defaultRowHeight="15" x14ac:dyDescent="0.25"/>
  <cols>
    <col min="2" max="4" width="12.140625" customWidth="1"/>
    <col min="5" max="5" width="33.85546875" customWidth="1"/>
    <col min="6" max="12" width="12.140625" customWidth="1"/>
  </cols>
  <sheetData>
    <row r="1" spans="2:12" ht="15.75" thickBot="1" x14ac:dyDescent="0.3"/>
    <row r="2" spans="2:12" ht="18.75" thickBot="1" x14ac:dyDescent="0.3">
      <c r="B2" s="386" t="s">
        <v>321</v>
      </c>
      <c r="C2" s="387"/>
      <c r="D2" s="387"/>
      <c r="E2" s="387"/>
      <c r="F2" s="387"/>
      <c r="G2" s="387"/>
      <c r="H2" s="387"/>
      <c r="I2" s="387"/>
      <c r="J2" s="387"/>
      <c r="K2" s="387"/>
      <c r="L2" s="388"/>
    </row>
    <row r="3" spans="2:12" ht="15.75" thickBot="1" x14ac:dyDescent="0.3">
      <c r="B3" s="65" t="s">
        <v>63</v>
      </c>
      <c r="C3" s="66" t="s">
        <v>64</v>
      </c>
      <c r="D3" s="66" t="s">
        <v>65</v>
      </c>
      <c r="E3" s="66" t="s">
        <v>66</v>
      </c>
      <c r="F3" s="66" t="s">
        <v>67</v>
      </c>
      <c r="G3" s="66" t="s">
        <v>68</v>
      </c>
      <c r="H3" s="66" t="s">
        <v>69</v>
      </c>
      <c r="I3" s="66" t="s">
        <v>70</v>
      </c>
      <c r="J3" s="67" t="s">
        <v>71</v>
      </c>
      <c r="K3" s="68" t="s">
        <v>72</v>
      </c>
      <c r="L3" s="69" t="s">
        <v>73</v>
      </c>
    </row>
    <row r="4" spans="2:12" x14ac:dyDescent="0.25">
      <c r="B4" s="37" t="s">
        <v>103</v>
      </c>
      <c r="C4" s="37" t="s">
        <v>78</v>
      </c>
      <c r="D4" s="70" t="s">
        <v>78</v>
      </c>
      <c r="E4" s="39" t="s">
        <v>79</v>
      </c>
      <c r="F4" s="40">
        <v>12000000</v>
      </c>
      <c r="G4" s="41">
        <v>1</v>
      </c>
      <c r="H4" s="41">
        <v>1</v>
      </c>
      <c r="I4" s="40">
        <f t="shared" ref="I4:I6" si="0">G4*H4</f>
        <v>1</v>
      </c>
      <c r="J4" s="40">
        <f>I4*F4</f>
        <v>12000000</v>
      </c>
      <c r="K4" s="61">
        <v>0.16558333333333333</v>
      </c>
      <c r="L4" s="40">
        <f t="shared" ref="L4:L6" si="1">J4-(J4*K4)</f>
        <v>10013000</v>
      </c>
    </row>
    <row r="5" spans="2:12" x14ac:dyDescent="0.25">
      <c r="B5" s="37" t="s">
        <v>103</v>
      </c>
      <c r="C5" s="37" t="s">
        <v>78</v>
      </c>
      <c r="D5" s="70" t="s">
        <v>78</v>
      </c>
      <c r="E5" s="43" t="s">
        <v>80</v>
      </c>
      <c r="F5" s="40">
        <v>3990000</v>
      </c>
      <c r="G5" s="41">
        <v>1</v>
      </c>
      <c r="H5" s="41">
        <v>1</v>
      </c>
      <c r="I5" s="40">
        <f t="shared" si="0"/>
        <v>1</v>
      </c>
      <c r="J5" s="40">
        <f>I5*F5</f>
        <v>3990000</v>
      </c>
      <c r="K5" s="61">
        <v>0.35</v>
      </c>
      <c r="L5" s="40">
        <f t="shared" si="1"/>
        <v>2593500</v>
      </c>
    </row>
    <row r="6" spans="2:12" ht="15.75" thickBot="1" x14ac:dyDescent="0.3">
      <c r="B6" s="37" t="s">
        <v>103</v>
      </c>
      <c r="C6" s="37" t="s">
        <v>78</v>
      </c>
      <c r="D6" s="70" t="s">
        <v>78</v>
      </c>
      <c r="E6" s="43" t="s">
        <v>104</v>
      </c>
      <c r="F6" s="40">
        <v>3990000</v>
      </c>
      <c r="G6" s="41">
        <v>1</v>
      </c>
      <c r="H6" s="41">
        <v>1</v>
      </c>
      <c r="I6" s="40">
        <f t="shared" si="0"/>
        <v>1</v>
      </c>
      <c r="J6" s="40">
        <f>I6*F6</f>
        <v>3990000</v>
      </c>
      <c r="K6" s="61">
        <v>0.35</v>
      </c>
      <c r="L6" s="40">
        <f t="shared" si="1"/>
        <v>2593500</v>
      </c>
    </row>
    <row r="7" spans="2:12" ht="15.75" x14ac:dyDescent="0.25">
      <c r="B7" s="44"/>
      <c r="C7" s="44"/>
      <c r="D7" s="44"/>
      <c r="E7" s="44"/>
      <c r="F7" s="44"/>
      <c r="G7" s="44"/>
      <c r="H7" s="44"/>
      <c r="I7" s="44"/>
      <c r="J7" s="45">
        <f>SUM(J4:J6)</f>
        <v>19980000</v>
      </c>
      <c r="K7" s="62"/>
      <c r="L7" s="46">
        <f>SUM(L4:L6)</f>
        <v>15200000</v>
      </c>
    </row>
    <row r="10" spans="2:12" ht="15.75" thickBot="1" x14ac:dyDescent="0.3"/>
    <row r="11" spans="2:12" ht="18.75" thickBot="1" x14ac:dyDescent="0.3">
      <c r="B11" s="386" t="s">
        <v>322</v>
      </c>
      <c r="C11" s="387"/>
      <c r="D11" s="387"/>
      <c r="E11" s="387"/>
      <c r="F11" s="387"/>
      <c r="G11" s="387"/>
      <c r="H11" s="387"/>
      <c r="I11" s="387"/>
      <c r="J11" s="387"/>
      <c r="K11" s="387"/>
      <c r="L11" s="388"/>
    </row>
    <row r="12" spans="2:12" ht="15.75" thickBot="1" x14ac:dyDescent="0.3">
      <c r="B12" s="65" t="s">
        <v>63</v>
      </c>
      <c r="C12" s="66" t="s">
        <v>64</v>
      </c>
      <c r="D12" s="66" t="s">
        <v>65</v>
      </c>
      <c r="E12" s="66" t="s">
        <v>66</v>
      </c>
      <c r="F12" s="66" t="s">
        <v>67</v>
      </c>
      <c r="G12" s="66" t="s">
        <v>68</v>
      </c>
      <c r="H12" s="66" t="s">
        <v>69</v>
      </c>
      <c r="I12" s="66" t="s">
        <v>70</v>
      </c>
      <c r="J12" s="67" t="s">
        <v>71</v>
      </c>
      <c r="K12" s="68" t="s">
        <v>72</v>
      </c>
      <c r="L12" s="69" t="s">
        <v>73</v>
      </c>
    </row>
    <row r="13" spans="2:12" x14ac:dyDescent="0.25">
      <c r="B13" s="37" t="s">
        <v>103</v>
      </c>
      <c r="C13" s="37" t="s">
        <v>78</v>
      </c>
      <c r="D13" s="70" t="s">
        <v>78</v>
      </c>
      <c r="E13" s="39" t="s">
        <v>79</v>
      </c>
      <c r="F13" s="40">
        <v>3000000</v>
      </c>
      <c r="G13" s="41">
        <v>1</v>
      </c>
      <c r="H13" s="41">
        <v>1</v>
      </c>
      <c r="I13" s="40">
        <f t="shared" ref="I13:I15" si="2">G13*H13</f>
        <v>1</v>
      </c>
      <c r="J13" s="40">
        <f>I13*F13</f>
        <v>3000000</v>
      </c>
      <c r="K13" s="61">
        <v>0.25973333333333332</v>
      </c>
      <c r="L13" s="40">
        <f t="shared" ref="L13:L15" si="3">J13-(J13*K13)</f>
        <v>2220800</v>
      </c>
    </row>
    <row r="14" spans="2:12" x14ac:dyDescent="0.25">
      <c r="B14" s="37" t="s">
        <v>103</v>
      </c>
      <c r="C14" s="37" t="s">
        <v>78</v>
      </c>
      <c r="D14" s="70" t="s">
        <v>78</v>
      </c>
      <c r="E14" s="43" t="s">
        <v>339</v>
      </c>
      <c r="F14" s="40">
        <v>984000</v>
      </c>
      <c r="G14" s="41">
        <v>1</v>
      </c>
      <c r="H14" s="41">
        <v>1</v>
      </c>
      <c r="I14" s="40">
        <f t="shared" si="2"/>
        <v>1</v>
      </c>
      <c r="J14" s="40">
        <f>I14*F14</f>
        <v>984000</v>
      </c>
      <c r="K14" s="61">
        <v>0.35</v>
      </c>
      <c r="L14" s="40">
        <f t="shared" si="3"/>
        <v>639600</v>
      </c>
    </row>
    <row r="15" spans="2:12" ht="15.75" thickBot="1" x14ac:dyDescent="0.3">
      <c r="B15" s="37" t="s">
        <v>103</v>
      </c>
      <c r="C15" s="37" t="s">
        <v>78</v>
      </c>
      <c r="D15" s="70" t="s">
        <v>78</v>
      </c>
      <c r="E15" s="43" t="s">
        <v>344</v>
      </c>
      <c r="F15" s="40">
        <v>984000</v>
      </c>
      <c r="G15" s="41">
        <v>1</v>
      </c>
      <c r="H15" s="41">
        <v>1</v>
      </c>
      <c r="I15" s="40">
        <f t="shared" si="2"/>
        <v>1</v>
      </c>
      <c r="J15" s="40">
        <f>I15*F15</f>
        <v>984000</v>
      </c>
      <c r="K15" s="61">
        <v>0.35</v>
      </c>
      <c r="L15" s="40">
        <f t="shared" si="3"/>
        <v>639600</v>
      </c>
    </row>
    <row r="16" spans="2:12" ht="15.75" x14ac:dyDescent="0.25">
      <c r="B16" s="44"/>
      <c r="C16" s="44"/>
      <c r="D16" s="44"/>
      <c r="E16" s="44"/>
      <c r="F16" s="44"/>
      <c r="G16" s="44"/>
      <c r="H16" s="44"/>
      <c r="I16" s="44"/>
      <c r="J16" s="45">
        <f>SUM(J13:J15)</f>
        <v>4968000</v>
      </c>
      <c r="K16" s="62"/>
      <c r="L16" s="46">
        <f>SUM(L13:L15)</f>
        <v>3500000</v>
      </c>
    </row>
    <row r="19" spans="2:12" ht="15.75" thickBot="1" x14ac:dyDescent="0.3"/>
    <row r="20" spans="2:12" ht="18.75" thickBot="1" x14ac:dyDescent="0.3">
      <c r="B20" s="456" t="s">
        <v>346</v>
      </c>
      <c r="C20" s="457"/>
      <c r="D20" s="457"/>
      <c r="E20" s="457"/>
      <c r="F20" s="457"/>
      <c r="G20" s="457"/>
      <c r="H20" s="457"/>
      <c r="I20" s="457"/>
      <c r="J20" s="457"/>
      <c r="K20" s="457"/>
      <c r="L20" s="458"/>
    </row>
    <row r="21" spans="2:12" ht="15.75" thickBot="1" x14ac:dyDescent="0.3">
      <c r="B21" s="193" t="s">
        <v>63</v>
      </c>
      <c r="C21" s="194" t="s">
        <v>64</v>
      </c>
      <c r="D21" s="194" t="s">
        <v>65</v>
      </c>
      <c r="E21" s="194" t="s">
        <v>66</v>
      </c>
      <c r="F21" s="194" t="s">
        <v>67</v>
      </c>
      <c r="G21" s="194" t="s">
        <v>68</v>
      </c>
      <c r="H21" s="194" t="s">
        <v>69</v>
      </c>
      <c r="I21" s="194" t="s">
        <v>70</v>
      </c>
      <c r="J21" s="195" t="s">
        <v>71</v>
      </c>
      <c r="K21" s="196" t="s">
        <v>72</v>
      </c>
      <c r="L21" s="197" t="s">
        <v>73</v>
      </c>
    </row>
    <row r="22" spans="2:12" x14ac:dyDescent="0.25">
      <c r="B22" s="37" t="s">
        <v>10</v>
      </c>
      <c r="C22" s="37" t="s">
        <v>78</v>
      </c>
      <c r="D22" s="198" t="s">
        <v>78</v>
      </c>
      <c r="E22" s="39" t="s">
        <v>79</v>
      </c>
      <c r="F22" s="40">
        <v>2500000</v>
      </c>
      <c r="G22" s="41">
        <v>1</v>
      </c>
      <c r="H22" s="41">
        <v>1</v>
      </c>
      <c r="I22" s="40">
        <f t="shared" ref="I22:I24" si="4">G22*H22</f>
        <v>1</v>
      </c>
      <c r="J22" s="40">
        <f>I22*F22</f>
        <v>2500000</v>
      </c>
      <c r="K22" s="61">
        <v>0.26800000000000002</v>
      </c>
      <c r="L22" s="40">
        <f t="shared" ref="L22:L24" si="5">J22-(J22*K22)</f>
        <v>1830000</v>
      </c>
    </row>
    <row r="23" spans="2:12" x14ac:dyDescent="0.25">
      <c r="B23" s="37" t="s">
        <v>10</v>
      </c>
      <c r="C23" s="37" t="s">
        <v>78</v>
      </c>
      <c r="D23" s="198" t="s">
        <v>78</v>
      </c>
      <c r="E23" s="43" t="s">
        <v>339</v>
      </c>
      <c r="F23" s="40">
        <v>900000</v>
      </c>
      <c r="G23" s="41">
        <v>1</v>
      </c>
      <c r="H23" s="41">
        <v>1</v>
      </c>
      <c r="I23" s="40">
        <f t="shared" si="4"/>
        <v>1</v>
      </c>
      <c r="J23" s="40">
        <f>I23*F23</f>
        <v>900000</v>
      </c>
      <c r="K23" s="61">
        <v>0.35</v>
      </c>
      <c r="L23" s="40">
        <f t="shared" si="5"/>
        <v>585000</v>
      </c>
    </row>
    <row r="24" spans="2:12" ht="15.75" thickBot="1" x14ac:dyDescent="0.3">
      <c r="B24" s="37" t="s">
        <v>10</v>
      </c>
      <c r="C24" s="37" t="s">
        <v>78</v>
      </c>
      <c r="D24" s="198" t="s">
        <v>78</v>
      </c>
      <c r="E24" s="43" t="s">
        <v>344</v>
      </c>
      <c r="F24" s="40">
        <v>900000</v>
      </c>
      <c r="G24" s="41">
        <v>1</v>
      </c>
      <c r="H24" s="41">
        <v>1</v>
      </c>
      <c r="I24" s="40">
        <f t="shared" si="4"/>
        <v>1</v>
      </c>
      <c r="J24" s="40">
        <f>I24*F24</f>
        <v>900000</v>
      </c>
      <c r="K24" s="61">
        <v>0.35</v>
      </c>
      <c r="L24" s="40">
        <f t="shared" si="5"/>
        <v>585000</v>
      </c>
    </row>
    <row r="25" spans="2:12" ht="15.75" x14ac:dyDescent="0.25">
      <c r="B25" s="44"/>
      <c r="C25" s="44"/>
      <c r="D25" s="44"/>
      <c r="E25" s="44"/>
      <c r="F25" s="44"/>
      <c r="G25" s="44"/>
      <c r="H25" s="44"/>
      <c r="I25" s="44"/>
      <c r="J25" s="45">
        <f>SUM(J22:J24)</f>
        <v>4300000</v>
      </c>
      <c r="K25" s="62"/>
      <c r="L25" s="199">
        <f>SUM(L22:L24)</f>
        <v>3000000</v>
      </c>
    </row>
    <row r="27" spans="2:12" ht="15.75" thickBot="1" x14ac:dyDescent="0.3"/>
    <row r="28" spans="2:12" ht="18.75" thickBot="1" x14ac:dyDescent="0.3">
      <c r="B28" s="456" t="s">
        <v>353</v>
      </c>
      <c r="C28" s="457"/>
      <c r="D28" s="457"/>
      <c r="E28" s="457"/>
      <c r="F28" s="457"/>
      <c r="G28" s="457"/>
      <c r="H28" s="457"/>
      <c r="I28" s="457"/>
      <c r="J28" s="457"/>
      <c r="K28" s="457"/>
      <c r="L28" s="458"/>
    </row>
    <row r="29" spans="2:12" ht="15.75" thickBot="1" x14ac:dyDescent="0.3">
      <c r="B29" s="193" t="s">
        <v>63</v>
      </c>
      <c r="C29" s="194" t="s">
        <v>64</v>
      </c>
      <c r="D29" s="194" t="s">
        <v>65</v>
      </c>
      <c r="E29" s="194" t="s">
        <v>66</v>
      </c>
      <c r="F29" s="194" t="s">
        <v>67</v>
      </c>
      <c r="G29" s="194" t="s">
        <v>68</v>
      </c>
      <c r="H29" s="194" t="s">
        <v>69</v>
      </c>
      <c r="I29" s="194" t="s">
        <v>70</v>
      </c>
      <c r="J29" s="195" t="s">
        <v>71</v>
      </c>
      <c r="K29" s="196" t="s">
        <v>72</v>
      </c>
      <c r="L29" s="197" t="s">
        <v>73</v>
      </c>
    </row>
    <row r="30" spans="2:12" x14ac:dyDescent="0.25">
      <c r="B30" s="37" t="s">
        <v>11</v>
      </c>
      <c r="C30" s="37" t="s">
        <v>78</v>
      </c>
      <c r="D30" s="198" t="s">
        <v>78</v>
      </c>
      <c r="E30" s="39" t="s">
        <v>79</v>
      </c>
      <c r="F30" s="40">
        <v>2500000</v>
      </c>
      <c r="G30" s="41">
        <v>1</v>
      </c>
      <c r="H30" s="41">
        <v>1</v>
      </c>
      <c r="I30" s="40">
        <f t="shared" ref="I30:I32" si="6">G30*H30</f>
        <v>1</v>
      </c>
      <c r="J30" s="40">
        <f>I30*F30</f>
        <v>2500000</v>
      </c>
      <c r="K30" s="61">
        <v>0.26800000000000002</v>
      </c>
      <c r="L30" s="40">
        <f t="shared" ref="L30:L32" si="7">J30-(J30*K30)</f>
        <v>1830000</v>
      </c>
    </row>
    <row r="31" spans="2:12" x14ac:dyDescent="0.25">
      <c r="B31" s="37" t="s">
        <v>11</v>
      </c>
      <c r="C31" s="37" t="s">
        <v>78</v>
      </c>
      <c r="D31" s="198" t="s">
        <v>78</v>
      </c>
      <c r="E31" s="43" t="s">
        <v>339</v>
      </c>
      <c r="F31" s="40">
        <v>900000</v>
      </c>
      <c r="G31" s="41">
        <v>1</v>
      </c>
      <c r="H31" s="41">
        <v>1</v>
      </c>
      <c r="I31" s="40">
        <f t="shared" si="6"/>
        <v>1</v>
      </c>
      <c r="J31" s="40">
        <f>I31*F31</f>
        <v>900000</v>
      </c>
      <c r="K31" s="61">
        <v>0.35</v>
      </c>
      <c r="L31" s="40">
        <f t="shared" si="7"/>
        <v>585000</v>
      </c>
    </row>
    <row r="32" spans="2:12" ht="15.75" thickBot="1" x14ac:dyDescent="0.3">
      <c r="B32" s="37" t="s">
        <v>11</v>
      </c>
      <c r="C32" s="37" t="s">
        <v>78</v>
      </c>
      <c r="D32" s="198" t="s">
        <v>78</v>
      </c>
      <c r="E32" s="43" t="s">
        <v>344</v>
      </c>
      <c r="F32" s="40">
        <v>900000</v>
      </c>
      <c r="G32" s="41">
        <v>1</v>
      </c>
      <c r="H32" s="41">
        <v>1</v>
      </c>
      <c r="I32" s="40">
        <f t="shared" si="6"/>
        <v>1</v>
      </c>
      <c r="J32" s="40">
        <f>I32*F32</f>
        <v>900000</v>
      </c>
      <c r="K32" s="61">
        <v>0.35</v>
      </c>
      <c r="L32" s="40">
        <f t="shared" si="7"/>
        <v>585000</v>
      </c>
    </row>
    <row r="33" spans="2:12" ht="15.75" x14ac:dyDescent="0.25">
      <c r="B33" s="44"/>
      <c r="C33" s="44"/>
      <c r="D33" s="44"/>
      <c r="E33" s="44"/>
      <c r="F33" s="44"/>
      <c r="G33" s="44"/>
      <c r="H33" s="44"/>
      <c r="I33" s="44"/>
      <c r="J33" s="45">
        <f>SUM(J30:J32)</f>
        <v>4300000</v>
      </c>
      <c r="K33" s="62"/>
      <c r="L33" s="199">
        <f>SUM(L30:L32)</f>
        <v>3000000</v>
      </c>
    </row>
  </sheetData>
  <mergeCells count="4">
    <mergeCell ref="B2:L2"/>
    <mergeCell ref="B11:L11"/>
    <mergeCell ref="B20:L20"/>
    <mergeCell ref="B28:L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120D-A9D1-4924-9058-220BCD3E08F7}">
  <dimension ref="B1:L32"/>
  <sheetViews>
    <sheetView topLeftCell="A18" workbookViewId="0">
      <selection activeCell="F29" sqref="F29"/>
    </sheetView>
  </sheetViews>
  <sheetFormatPr baseColWidth="10" defaultRowHeight="15" x14ac:dyDescent="0.25"/>
  <cols>
    <col min="5" max="5" width="24" customWidth="1"/>
  </cols>
  <sheetData>
    <row r="1" spans="2:12" ht="15.75" thickBot="1" x14ac:dyDescent="0.3"/>
    <row r="2" spans="2:12" ht="18.75" thickBot="1" x14ac:dyDescent="0.3">
      <c r="B2" s="386" t="s">
        <v>323</v>
      </c>
      <c r="C2" s="387"/>
      <c r="D2" s="387"/>
      <c r="E2" s="387"/>
      <c r="F2" s="387"/>
      <c r="G2" s="387"/>
      <c r="H2" s="387"/>
      <c r="I2" s="387"/>
      <c r="J2" s="387"/>
      <c r="K2" s="387"/>
      <c r="L2" s="388"/>
    </row>
    <row r="3" spans="2:12" ht="15.75" thickBot="1" x14ac:dyDescent="0.3">
      <c r="B3" s="65" t="s">
        <v>63</v>
      </c>
      <c r="C3" s="66" t="s">
        <v>64</v>
      </c>
      <c r="D3" s="66" t="s">
        <v>65</v>
      </c>
      <c r="E3" s="66" t="s">
        <v>66</v>
      </c>
      <c r="F3" s="66" t="s">
        <v>67</v>
      </c>
      <c r="G3" s="66" t="s">
        <v>68</v>
      </c>
      <c r="H3" s="66" t="s">
        <v>69</v>
      </c>
      <c r="I3" s="66" t="s">
        <v>70</v>
      </c>
      <c r="J3" s="67" t="s">
        <v>71</v>
      </c>
      <c r="K3" s="68" t="s">
        <v>72</v>
      </c>
      <c r="L3" s="69" t="s">
        <v>73</v>
      </c>
    </row>
    <row r="4" spans="2:12" x14ac:dyDescent="0.25">
      <c r="B4" s="37" t="s">
        <v>103</v>
      </c>
      <c r="C4" s="37" t="s">
        <v>78</v>
      </c>
      <c r="D4" s="70" t="s">
        <v>78</v>
      </c>
      <c r="E4" s="39" t="s">
        <v>327</v>
      </c>
      <c r="F4" s="40">
        <v>4100000</v>
      </c>
      <c r="G4" s="41">
        <v>1</v>
      </c>
      <c r="H4" s="41">
        <v>1</v>
      </c>
      <c r="I4" s="40">
        <f t="shared" ref="I4:I6" si="0">G4*H4</f>
        <v>1</v>
      </c>
      <c r="J4" s="40">
        <f>I4*F4</f>
        <v>4100000</v>
      </c>
      <c r="K4" s="61">
        <v>0.41463414634146339</v>
      </c>
      <c r="L4" s="40">
        <f t="shared" ref="L4:L6" si="1">J4-(J4*K4)</f>
        <v>2400000</v>
      </c>
    </row>
    <row r="5" spans="2:12" x14ac:dyDescent="0.25">
      <c r="B5" s="37" t="s">
        <v>103</v>
      </c>
      <c r="C5" s="37" t="s">
        <v>78</v>
      </c>
      <c r="D5" s="70" t="s">
        <v>78</v>
      </c>
      <c r="E5" s="43" t="s">
        <v>325</v>
      </c>
      <c r="F5" s="40">
        <v>4000000</v>
      </c>
      <c r="G5" s="41">
        <v>1</v>
      </c>
      <c r="H5" s="41">
        <v>1</v>
      </c>
      <c r="I5" s="40">
        <f t="shared" si="0"/>
        <v>1</v>
      </c>
      <c r="J5" s="40">
        <f>I5*F5</f>
        <v>4000000</v>
      </c>
      <c r="K5" s="61">
        <v>0.4</v>
      </c>
      <c r="L5" s="40">
        <f t="shared" si="1"/>
        <v>2400000</v>
      </c>
    </row>
    <row r="6" spans="2:12" ht="15.75" thickBot="1" x14ac:dyDescent="0.3">
      <c r="B6" s="37" t="s">
        <v>103</v>
      </c>
      <c r="C6" s="37" t="s">
        <v>78</v>
      </c>
      <c r="D6" s="70" t="s">
        <v>78</v>
      </c>
      <c r="E6" s="43" t="s">
        <v>326</v>
      </c>
      <c r="F6" s="40">
        <v>2000000</v>
      </c>
      <c r="G6" s="41">
        <v>1</v>
      </c>
      <c r="H6" s="41">
        <v>1</v>
      </c>
      <c r="I6" s="40">
        <f t="shared" si="0"/>
        <v>1</v>
      </c>
      <c r="J6" s="40">
        <f>I6*F6</f>
        <v>2000000</v>
      </c>
      <c r="K6" s="61">
        <v>0.4</v>
      </c>
      <c r="L6" s="40">
        <f t="shared" si="1"/>
        <v>1200000</v>
      </c>
    </row>
    <row r="7" spans="2:12" ht="15.75" x14ac:dyDescent="0.25">
      <c r="B7" s="44"/>
      <c r="C7" s="44"/>
      <c r="D7" s="44"/>
      <c r="E7" s="44"/>
      <c r="F7" s="44"/>
      <c r="G7" s="44"/>
      <c r="H7" s="44"/>
      <c r="I7" s="44"/>
      <c r="J7" s="45">
        <f>SUM(J4:J6)</f>
        <v>10100000</v>
      </c>
      <c r="K7" s="62"/>
      <c r="L7" s="46">
        <f>SUM(L4:L6)</f>
        <v>6000000</v>
      </c>
    </row>
    <row r="10" spans="2:12" ht="15.75" thickBot="1" x14ac:dyDescent="0.3"/>
    <row r="11" spans="2:12" ht="18.75" thickBot="1" x14ac:dyDescent="0.3">
      <c r="B11" s="386" t="s">
        <v>324</v>
      </c>
      <c r="C11" s="387"/>
      <c r="D11" s="387"/>
      <c r="E11" s="387"/>
      <c r="F11" s="387"/>
      <c r="G11" s="387"/>
      <c r="H11" s="387"/>
      <c r="I11" s="387"/>
      <c r="J11" s="387"/>
      <c r="K11" s="387"/>
      <c r="L11" s="388"/>
    </row>
    <row r="12" spans="2:12" ht="15.75" thickBot="1" x14ac:dyDescent="0.3">
      <c r="B12" s="65" t="s">
        <v>63</v>
      </c>
      <c r="C12" s="66" t="s">
        <v>64</v>
      </c>
      <c r="D12" s="66" t="s">
        <v>65</v>
      </c>
      <c r="E12" s="66" t="s">
        <v>66</v>
      </c>
      <c r="F12" s="66" t="s">
        <v>67</v>
      </c>
      <c r="G12" s="66" t="s">
        <v>68</v>
      </c>
      <c r="H12" s="66" t="s">
        <v>69</v>
      </c>
      <c r="I12" s="66" t="s">
        <v>70</v>
      </c>
      <c r="J12" s="67" t="s">
        <v>71</v>
      </c>
      <c r="K12" s="68" t="s">
        <v>72</v>
      </c>
      <c r="L12" s="69" t="s">
        <v>73</v>
      </c>
    </row>
    <row r="13" spans="2:12" x14ac:dyDescent="0.25">
      <c r="B13" s="37" t="s">
        <v>103</v>
      </c>
      <c r="C13" s="37" t="s">
        <v>78</v>
      </c>
      <c r="D13" s="70" t="s">
        <v>78</v>
      </c>
      <c r="E13" s="39" t="s">
        <v>327</v>
      </c>
      <c r="F13" s="40">
        <v>3100000</v>
      </c>
      <c r="G13" s="41">
        <v>1</v>
      </c>
      <c r="H13" s="41">
        <v>1</v>
      </c>
      <c r="I13" s="40">
        <f t="shared" ref="I13:I15" si="2">G13*H13</f>
        <v>1</v>
      </c>
      <c r="J13" s="40">
        <f>I13*F13</f>
        <v>3100000</v>
      </c>
      <c r="K13" s="61">
        <v>0.17548387096774193</v>
      </c>
      <c r="L13" s="40">
        <f t="shared" ref="L13:L15" si="3">J13-(J13*K13)</f>
        <v>2556000</v>
      </c>
    </row>
    <row r="14" spans="2:12" x14ac:dyDescent="0.25">
      <c r="B14" s="37" t="s">
        <v>103</v>
      </c>
      <c r="C14" s="37" t="s">
        <v>78</v>
      </c>
      <c r="D14" s="70" t="s">
        <v>78</v>
      </c>
      <c r="E14" s="43" t="s">
        <v>329</v>
      </c>
      <c r="F14" s="40">
        <v>370000</v>
      </c>
      <c r="G14" s="41">
        <v>1</v>
      </c>
      <c r="H14" s="41">
        <v>1</v>
      </c>
      <c r="I14" s="40">
        <f t="shared" si="2"/>
        <v>1</v>
      </c>
      <c r="J14" s="40">
        <f>I14*F14</f>
        <v>370000</v>
      </c>
      <c r="K14" s="61">
        <v>0.4</v>
      </c>
      <c r="L14" s="40">
        <f t="shared" si="3"/>
        <v>222000</v>
      </c>
    </row>
    <row r="15" spans="2:12" ht="15.75" thickBot="1" x14ac:dyDescent="0.3">
      <c r="B15" s="37" t="s">
        <v>103</v>
      </c>
      <c r="C15" s="37" t="s">
        <v>78</v>
      </c>
      <c r="D15" s="70" t="s">
        <v>78</v>
      </c>
      <c r="E15" s="43" t="s">
        <v>328</v>
      </c>
      <c r="F15" s="40">
        <v>370000</v>
      </c>
      <c r="G15" s="41">
        <v>1</v>
      </c>
      <c r="H15" s="41">
        <v>1</v>
      </c>
      <c r="I15" s="40">
        <f t="shared" si="2"/>
        <v>1</v>
      </c>
      <c r="J15" s="40">
        <f>I15*F15</f>
        <v>370000</v>
      </c>
      <c r="K15" s="61">
        <v>0.4</v>
      </c>
      <c r="L15" s="40">
        <f t="shared" si="3"/>
        <v>222000</v>
      </c>
    </row>
    <row r="16" spans="2:12" ht="15.75" x14ac:dyDescent="0.25">
      <c r="B16" s="44"/>
      <c r="C16" s="44"/>
      <c r="D16" s="44"/>
      <c r="E16" s="44"/>
      <c r="F16" s="44"/>
      <c r="G16" s="44"/>
      <c r="H16" s="44"/>
      <c r="I16" s="44"/>
      <c r="J16" s="45">
        <f>SUM(J13:J15)</f>
        <v>3840000</v>
      </c>
      <c r="K16" s="62"/>
      <c r="L16" s="46">
        <f>SUM(L13:L15)</f>
        <v>3000000</v>
      </c>
    </row>
    <row r="18" spans="2:12" ht="15.75" thickBot="1" x14ac:dyDescent="0.3"/>
    <row r="19" spans="2:12" ht="18.75" thickBot="1" x14ac:dyDescent="0.3">
      <c r="B19" s="456" t="s">
        <v>347</v>
      </c>
      <c r="C19" s="457"/>
      <c r="D19" s="457"/>
      <c r="E19" s="457"/>
      <c r="F19" s="457"/>
      <c r="G19" s="457"/>
      <c r="H19" s="457"/>
      <c r="I19" s="457"/>
      <c r="J19" s="457"/>
      <c r="K19" s="457"/>
      <c r="L19" s="458"/>
    </row>
    <row r="20" spans="2:12" ht="15.75" thickBot="1" x14ac:dyDescent="0.3">
      <c r="B20" s="193" t="s">
        <v>63</v>
      </c>
      <c r="C20" s="194" t="s">
        <v>64</v>
      </c>
      <c r="D20" s="194" t="s">
        <v>65</v>
      </c>
      <c r="E20" s="194" t="s">
        <v>66</v>
      </c>
      <c r="F20" s="194" t="s">
        <v>67</v>
      </c>
      <c r="G20" s="194" t="s">
        <v>68</v>
      </c>
      <c r="H20" s="194" t="s">
        <v>69</v>
      </c>
      <c r="I20" s="194" t="s">
        <v>70</v>
      </c>
      <c r="J20" s="195" t="s">
        <v>71</v>
      </c>
      <c r="K20" s="196" t="s">
        <v>72</v>
      </c>
      <c r="L20" s="197" t="s">
        <v>73</v>
      </c>
    </row>
    <row r="21" spans="2:12" ht="25.5" x14ac:dyDescent="0.25">
      <c r="B21" s="37" t="s">
        <v>10</v>
      </c>
      <c r="C21" s="37" t="s">
        <v>78</v>
      </c>
      <c r="D21" s="198" t="s">
        <v>78</v>
      </c>
      <c r="E21" s="39" t="s">
        <v>327</v>
      </c>
      <c r="F21" s="40">
        <v>2100000</v>
      </c>
      <c r="G21" s="41">
        <v>1</v>
      </c>
      <c r="H21" s="41">
        <v>1</v>
      </c>
      <c r="I21" s="40">
        <f t="shared" ref="I21:I23" si="4">G21*H21</f>
        <v>1</v>
      </c>
      <c r="J21" s="40">
        <f>I21*F21</f>
        <v>2100000</v>
      </c>
      <c r="K21" s="61">
        <v>0.24190476190476198</v>
      </c>
      <c r="L21" s="40">
        <f t="shared" ref="L21:L23" si="5">J21-(J21*K21)</f>
        <v>1591999.9999999998</v>
      </c>
    </row>
    <row r="22" spans="2:12" ht="25.5" x14ac:dyDescent="0.25">
      <c r="B22" s="37" t="s">
        <v>10</v>
      </c>
      <c r="C22" s="37" t="s">
        <v>78</v>
      </c>
      <c r="D22" s="198" t="s">
        <v>78</v>
      </c>
      <c r="E22" s="43" t="s">
        <v>329</v>
      </c>
      <c r="F22" s="40">
        <v>340000</v>
      </c>
      <c r="G22" s="41">
        <v>1</v>
      </c>
      <c r="H22" s="41">
        <v>1</v>
      </c>
      <c r="I22" s="40">
        <f t="shared" si="4"/>
        <v>1</v>
      </c>
      <c r="J22" s="40">
        <f>I22*F22</f>
        <v>340000</v>
      </c>
      <c r="K22" s="61">
        <v>0.4</v>
      </c>
      <c r="L22" s="40">
        <f t="shared" si="5"/>
        <v>204000</v>
      </c>
    </row>
    <row r="23" spans="2:12" ht="26.25" thickBot="1" x14ac:dyDescent="0.3">
      <c r="B23" s="37" t="s">
        <v>10</v>
      </c>
      <c r="C23" s="37" t="s">
        <v>78</v>
      </c>
      <c r="D23" s="198" t="s">
        <v>78</v>
      </c>
      <c r="E23" s="43" t="s">
        <v>328</v>
      </c>
      <c r="F23" s="40">
        <v>340000</v>
      </c>
      <c r="G23" s="41">
        <v>1</v>
      </c>
      <c r="H23" s="41">
        <v>1</v>
      </c>
      <c r="I23" s="40">
        <f t="shared" si="4"/>
        <v>1</v>
      </c>
      <c r="J23" s="40">
        <f>I23*F23</f>
        <v>340000</v>
      </c>
      <c r="K23" s="61">
        <v>0.4</v>
      </c>
      <c r="L23" s="40">
        <f t="shared" si="5"/>
        <v>204000</v>
      </c>
    </row>
    <row r="24" spans="2:12" ht="15.75" x14ac:dyDescent="0.25">
      <c r="B24" s="44"/>
      <c r="C24" s="44"/>
      <c r="D24" s="44"/>
      <c r="E24" s="44"/>
      <c r="F24" s="44"/>
      <c r="G24" s="44"/>
      <c r="H24" s="44"/>
      <c r="I24" s="44"/>
      <c r="J24" s="45">
        <f>SUM(J21:J23)</f>
        <v>2780000</v>
      </c>
      <c r="K24" s="62"/>
      <c r="L24" s="199">
        <f>SUM(L21:L23)</f>
        <v>1999999.9999999998</v>
      </c>
    </row>
    <row r="26" spans="2:12" ht="15.75" thickBot="1" x14ac:dyDescent="0.3"/>
    <row r="27" spans="2:12" ht="18.75" thickBot="1" x14ac:dyDescent="0.3">
      <c r="B27" s="456" t="s">
        <v>354</v>
      </c>
      <c r="C27" s="457"/>
      <c r="D27" s="457"/>
      <c r="E27" s="457"/>
      <c r="F27" s="457"/>
      <c r="G27" s="457"/>
      <c r="H27" s="457"/>
      <c r="I27" s="457"/>
      <c r="J27" s="457"/>
      <c r="K27" s="457"/>
      <c r="L27" s="458"/>
    </row>
    <row r="28" spans="2:12" ht="15.75" thickBot="1" x14ac:dyDescent="0.3">
      <c r="B28" s="193" t="s">
        <v>63</v>
      </c>
      <c r="C28" s="194" t="s">
        <v>64</v>
      </c>
      <c r="D28" s="194" t="s">
        <v>65</v>
      </c>
      <c r="E28" s="194" t="s">
        <v>66</v>
      </c>
      <c r="F28" s="194" t="s">
        <v>67</v>
      </c>
      <c r="G28" s="194" t="s">
        <v>68</v>
      </c>
      <c r="H28" s="194" t="s">
        <v>69</v>
      </c>
      <c r="I28" s="194" t="s">
        <v>70</v>
      </c>
      <c r="J28" s="195" t="s">
        <v>71</v>
      </c>
      <c r="K28" s="196" t="s">
        <v>72</v>
      </c>
      <c r="L28" s="197" t="s">
        <v>73</v>
      </c>
    </row>
    <row r="29" spans="2:12" x14ac:dyDescent="0.25">
      <c r="B29" s="37" t="s">
        <v>355</v>
      </c>
      <c r="C29" s="37" t="s">
        <v>78</v>
      </c>
      <c r="D29" s="198" t="s">
        <v>78</v>
      </c>
      <c r="E29" s="39" t="s">
        <v>327</v>
      </c>
      <c r="F29" s="40">
        <v>2100000</v>
      </c>
      <c r="G29" s="41">
        <v>1</v>
      </c>
      <c r="H29" s="41">
        <v>1</v>
      </c>
      <c r="I29" s="40">
        <f t="shared" ref="I29:I31" si="6">G29*H29</f>
        <v>1</v>
      </c>
      <c r="J29" s="40">
        <f>I29*F29</f>
        <v>2100000</v>
      </c>
      <c r="K29" s="61">
        <v>0.24190476190476198</v>
      </c>
      <c r="L29" s="40">
        <f t="shared" ref="L29:L31" si="7">J29-(J29*K29)</f>
        <v>1591999.9999999998</v>
      </c>
    </row>
    <row r="30" spans="2:12" x14ac:dyDescent="0.25">
      <c r="B30" s="37" t="s">
        <v>355</v>
      </c>
      <c r="C30" s="37" t="s">
        <v>78</v>
      </c>
      <c r="D30" s="198" t="s">
        <v>78</v>
      </c>
      <c r="E30" s="43" t="s">
        <v>329</v>
      </c>
      <c r="F30" s="40">
        <v>340000</v>
      </c>
      <c r="G30" s="41">
        <v>1</v>
      </c>
      <c r="H30" s="41">
        <v>1</v>
      </c>
      <c r="I30" s="40">
        <f t="shared" si="6"/>
        <v>1</v>
      </c>
      <c r="J30" s="40">
        <f>I30*F30</f>
        <v>340000</v>
      </c>
      <c r="K30" s="61">
        <v>0.4</v>
      </c>
      <c r="L30" s="40">
        <f t="shared" si="7"/>
        <v>204000</v>
      </c>
    </row>
    <row r="31" spans="2:12" ht="15.75" thickBot="1" x14ac:dyDescent="0.3">
      <c r="B31" s="37" t="s">
        <v>355</v>
      </c>
      <c r="C31" s="37" t="s">
        <v>78</v>
      </c>
      <c r="D31" s="198" t="s">
        <v>78</v>
      </c>
      <c r="E31" s="43" t="s">
        <v>328</v>
      </c>
      <c r="F31" s="40">
        <v>340000</v>
      </c>
      <c r="G31" s="41">
        <v>1</v>
      </c>
      <c r="H31" s="41">
        <v>1</v>
      </c>
      <c r="I31" s="40">
        <f t="shared" si="6"/>
        <v>1</v>
      </c>
      <c r="J31" s="40">
        <f>I31*F31</f>
        <v>340000</v>
      </c>
      <c r="K31" s="61">
        <v>0.4</v>
      </c>
      <c r="L31" s="40">
        <f t="shared" si="7"/>
        <v>204000</v>
      </c>
    </row>
    <row r="32" spans="2:12" ht="15.75" x14ac:dyDescent="0.25">
      <c r="B32" s="44"/>
      <c r="C32" s="44"/>
      <c r="D32" s="44"/>
      <c r="E32" s="44"/>
      <c r="F32" s="44"/>
      <c r="G32" s="44"/>
      <c r="H32" s="44"/>
      <c r="I32" s="44"/>
      <c r="J32" s="45">
        <f>SUM(J29:J31)</f>
        <v>2780000</v>
      </c>
      <c r="K32" s="62"/>
      <c r="L32" s="199">
        <f>SUM(L29:L31)</f>
        <v>1999999.9999999998</v>
      </c>
    </row>
  </sheetData>
  <mergeCells count="4">
    <mergeCell ref="B2:L2"/>
    <mergeCell ref="B11:L11"/>
    <mergeCell ref="B19:L19"/>
    <mergeCell ref="B27:L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BB8D-850F-48F0-9FBF-CA2CB98DAE17}">
  <dimension ref="B2:R21"/>
  <sheetViews>
    <sheetView workbookViewId="0">
      <selection activeCell="R8" sqref="R8"/>
    </sheetView>
  </sheetViews>
  <sheetFormatPr baseColWidth="10" defaultRowHeight="15" x14ac:dyDescent="0.25"/>
  <cols>
    <col min="2" max="2" width="19.7109375" customWidth="1"/>
    <col min="3" max="3" width="19.5703125" customWidth="1"/>
    <col min="5" max="5" width="17" customWidth="1"/>
    <col min="10" max="10" width="14.28515625" customWidth="1"/>
    <col min="12" max="12" width="15.28515625" customWidth="1"/>
    <col min="18" max="18" width="15.5703125" customWidth="1"/>
  </cols>
  <sheetData>
    <row r="2" spans="2:18" ht="15.75" thickBot="1" x14ac:dyDescent="0.3"/>
    <row r="3" spans="2:18" ht="21.75" thickBot="1" x14ac:dyDescent="0.3">
      <c r="B3" s="459" t="s">
        <v>138</v>
      </c>
      <c r="C3" s="460"/>
      <c r="D3" s="460"/>
      <c r="E3" s="461"/>
      <c r="H3" s="431" t="s">
        <v>168</v>
      </c>
      <c r="I3" s="432"/>
      <c r="J3" s="432"/>
      <c r="K3" s="432"/>
      <c r="L3" s="432"/>
      <c r="M3" s="432"/>
      <c r="N3" s="432"/>
      <c r="O3" s="432"/>
      <c r="P3" s="432"/>
      <c r="Q3" s="432"/>
      <c r="R3" s="432"/>
    </row>
    <row r="4" spans="2:18" ht="32.25" thickBot="1" x14ac:dyDescent="0.3">
      <c r="B4" s="110" t="s">
        <v>139</v>
      </c>
      <c r="C4" s="110" t="s">
        <v>140</v>
      </c>
      <c r="D4" s="111" t="s">
        <v>141</v>
      </c>
      <c r="E4" s="112" t="s">
        <v>142</v>
      </c>
      <c r="H4" s="105" t="s">
        <v>63</v>
      </c>
      <c r="I4" s="106" t="s">
        <v>64</v>
      </c>
      <c r="J4" s="106" t="s">
        <v>163</v>
      </c>
      <c r="K4" s="106" t="s">
        <v>65</v>
      </c>
      <c r="L4" s="106" t="s">
        <v>166</v>
      </c>
      <c r="M4" s="106" t="s">
        <v>67</v>
      </c>
      <c r="N4" s="106" t="s">
        <v>94</v>
      </c>
      <c r="O4" s="106" t="s">
        <v>70</v>
      </c>
      <c r="P4" s="106" t="s">
        <v>71</v>
      </c>
      <c r="Q4" s="107" t="s">
        <v>72</v>
      </c>
      <c r="R4" s="108" t="s">
        <v>73</v>
      </c>
    </row>
    <row r="5" spans="2:18" ht="15.75" thickBot="1" x14ac:dyDescent="0.3">
      <c r="B5" s="462" t="s">
        <v>143</v>
      </c>
      <c r="C5" s="113" t="s">
        <v>144</v>
      </c>
      <c r="D5" s="114">
        <v>15000000</v>
      </c>
      <c r="E5" s="115">
        <v>20000000</v>
      </c>
      <c r="H5" s="71" t="s">
        <v>8</v>
      </c>
      <c r="I5" s="71" t="s">
        <v>75</v>
      </c>
      <c r="J5" s="71" t="s">
        <v>148</v>
      </c>
      <c r="K5" s="109" t="s">
        <v>162</v>
      </c>
      <c r="L5" s="54" t="s">
        <v>167</v>
      </c>
      <c r="M5" s="79">
        <f>D7</f>
        <v>6000000</v>
      </c>
      <c r="N5" s="82">
        <v>3</v>
      </c>
      <c r="O5" s="82">
        <f>N5</f>
        <v>3</v>
      </c>
      <c r="P5" s="79">
        <f>M5*N5</f>
        <v>18000000</v>
      </c>
      <c r="Q5" s="83">
        <v>0.9</v>
      </c>
      <c r="R5" s="79">
        <f>P5-P5*Q5</f>
        <v>1800000</v>
      </c>
    </row>
    <row r="6" spans="2:18" ht="15.75" thickBot="1" x14ac:dyDescent="0.3">
      <c r="B6" s="463"/>
      <c r="C6" s="116" t="s">
        <v>145</v>
      </c>
      <c r="D6" s="117">
        <v>6000000</v>
      </c>
      <c r="E6" s="118" t="s">
        <v>146</v>
      </c>
      <c r="H6" s="71" t="s">
        <v>8</v>
      </c>
      <c r="I6" s="71" t="s">
        <v>78</v>
      </c>
      <c r="J6" s="71" t="s">
        <v>164</v>
      </c>
      <c r="K6" s="109" t="s">
        <v>162</v>
      </c>
      <c r="L6" s="54" t="s">
        <v>167</v>
      </c>
      <c r="M6" s="79">
        <f>D12</f>
        <v>10300000</v>
      </c>
      <c r="N6" s="82">
        <v>3</v>
      </c>
      <c r="O6" s="82">
        <f>N6</f>
        <v>3</v>
      </c>
      <c r="P6" s="79">
        <f>M6*N6</f>
        <v>30900000</v>
      </c>
      <c r="Q6" s="83">
        <v>0.9</v>
      </c>
      <c r="R6" s="79">
        <f>P6-P6*Q6</f>
        <v>3090000</v>
      </c>
    </row>
    <row r="7" spans="2:18" x14ac:dyDescent="0.25">
      <c r="B7" s="463"/>
      <c r="C7" s="119" t="s">
        <v>147</v>
      </c>
      <c r="D7" s="465">
        <v>6000000</v>
      </c>
      <c r="E7" s="465">
        <v>7800000</v>
      </c>
      <c r="H7" s="71" t="s">
        <v>8</v>
      </c>
      <c r="I7" s="71" t="s">
        <v>78</v>
      </c>
      <c r="J7" s="71" t="s">
        <v>165</v>
      </c>
      <c r="K7" s="109" t="s">
        <v>162</v>
      </c>
      <c r="L7" s="54" t="s">
        <v>167</v>
      </c>
      <c r="M7" s="79">
        <f>D13</f>
        <v>3280000</v>
      </c>
      <c r="N7" s="82">
        <v>3</v>
      </c>
      <c r="O7" s="82">
        <f>N7</f>
        <v>3</v>
      </c>
      <c r="P7" s="79">
        <f>M7*N7</f>
        <v>9840000</v>
      </c>
      <c r="Q7" s="83">
        <v>0.9</v>
      </c>
      <c r="R7" s="79">
        <f>P7-P7*Q7</f>
        <v>984000</v>
      </c>
    </row>
    <row r="8" spans="2:18" x14ac:dyDescent="0.25">
      <c r="B8" s="463"/>
      <c r="C8" s="120" t="s">
        <v>148</v>
      </c>
      <c r="D8" s="465"/>
      <c r="E8" s="465"/>
      <c r="R8" s="73">
        <f>SUM(R5:R7)</f>
        <v>5874000</v>
      </c>
    </row>
    <row r="9" spans="2:18" x14ac:dyDescent="0.25">
      <c r="B9" s="463"/>
      <c r="C9" s="120" t="s">
        <v>149</v>
      </c>
      <c r="D9" s="465"/>
      <c r="E9" s="465"/>
    </row>
    <row r="10" spans="2:18" ht="15.75" thickBot="1" x14ac:dyDescent="0.3">
      <c r="B10" s="463"/>
      <c r="C10" s="120" t="s">
        <v>150</v>
      </c>
      <c r="D10" s="465"/>
      <c r="E10" s="465"/>
    </row>
    <row r="11" spans="2:18" ht="18.75" thickBot="1" x14ac:dyDescent="0.3">
      <c r="B11" s="463"/>
      <c r="C11" s="121" t="s">
        <v>151</v>
      </c>
      <c r="D11" s="466"/>
      <c r="E11" s="466"/>
      <c r="H11" s="431" t="s">
        <v>170</v>
      </c>
      <c r="I11" s="432"/>
      <c r="J11" s="432"/>
      <c r="K11" s="432"/>
      <c r="L11" s="432"/>
      <c r="M11" s="432"/>
      <c r="N11" s="432"/>
      <c r="O11" s="432"/>
      <c r="P11" s="432"/>
      <c r="Q11" s="432"/>
      <c r="R11" s="432"/>
    </row>
    <row r="12" spans="2:18" ht="15.75" thickBot="1" x14ac:dyDescent="0.3">
      <c r="B12" s="463"/>
      <c r="C12" s="116" t="s">
        <v>152</v>
      </c>
      <c r="D12" s="122">
        <v>10300000</v>
      </c>
      <c r="E12" s="123">
        <v>13390000</v>
      </c>
      <c r="H12" s="105" t="s">
        <v>63</v>
      </c>
      <c r="I12" s="106" t="s">
        <v>64</v>
      </c>
      <c r="J12" s="106" t="s">
        <v>163</v>
      </c>
      <c r="K12" s="106" t="s">
        <v>65</v>
      </c>
      <c r="L12" s="106" t="s">
        <v>166</v>
      </c>
      <c r="M12" s="106" t="s">
        <v>67</v>
      </c>
      <c r="N12" s="106" t="s">
        <v>94</v>
      </c>
      <c r="O12" s="106" t="s">
        <v>70</v>
      </c>
      <c r="P12" s="106" t="s">
        <v>71</v>
      </c>
      <c r="Q12" s="107" t="s">
        <v>72</v>
      </c>
      <c r="R12" s="108" t="s">
        <v>73</v>
      </c>
    </row>
    <row r="13" spans="2:18" x14ac:dyDescent="0.25">
      <c r="B13" s="463"/>
      <c r="C13" s="124" t="s">
        <v>153</v>
      </c>
      <c r="D13" s="467">
        <v>3280000</v>
      </c>
      <c r="E13" s="467">
        <v>4264000</v>
      </c>
      <c r="H13" s="71" t="s">
        <v>8</v>
      </c>
      <c r="I13" s="71" t="s">
        <v>75</v>
      </c>
      <c r="J13" s="71" t="s">
        <v>148</v>
      </c>
      <c r="K13" s="109" t="s">
        <v>162</v>
      </c>
      <c r="L13" s="54" t="s">
        <v>167</v>
      </c>
      <c r="M13" s="79">
        <f>D7</f>
        <v>6000000</v>
      </c>
      <c r="N13" s="82">
        <v>3</v>
      </c>
      <c r="O13" s="82">
        <f>N13</f>
        <v>3</v>
      </c>
      <c r="P13" s="79">
        <f>M13*N13</f>
        <v>18000000</v>
      </c>
      <c r="Q13" s="83">
        <v>0.9</v>
      </c>
      <c r="R13" s="79">
        <f>P13-P13*Q13</f>
        <v>1800000</v>
      </c>
    </row>
    <row r="14" spans="2:18" x14ac:dyDescent="0.25">
      <c r="B14" s="463"/>
      <c r="C14" s="120" t="s">
        <v>154</v>
      </c>
      <c r="D14" s="465"/>
      <c r="E14" s="465"/>
      <c r="H14" s="71" t="s">
        <v>8</v>
      </c>
      <c r="I14" s="71" t="s">
        <v>78</v>
      </c>
      <c r="J14" s="71" t="s">
        <v>164</v>
      </c>
      <c r="K14" s="109" t="s">
        <v>162</v>
      </c>
      <c r="L14" s="54" t="s">
        <v>167</v>
      </c>
      <c r="M14" s="79">
        <f>D12</f>
        <v>10300000</v>
      </c>
      <c r="N14" s="82">
        <v>3</v>
      </c>
      <c r="O14" s="82">
        <f>N14</f>
        <v>3</v>
      </c>
      <c r="P14" s="79">
        <f>M14*N14</f>
        <v>30900000</v>
      </c>
      <c r="Q14" s="83">
        <v>0.9</v>
      </c>
      <c r="R14" s="79">
        <f>P14-P14*Q14</f>
        <v>3090000</v>
      </c>
    </row>
    <row r="15" spans="2:18" ht="15.75" thickBot="1" x14ac:dyDescent="0.3">
      <c r="B15" s="464"/>
      <c r="C15" s="125" t="s">
        <v>155</v>
      </c>
      <c r="D15" s="465"/>
      <c r="E15" s="465"/>
      <c r="H15" s="71" t="s">
        <v>8</v>
      </c>
      <c r="I15" s="71" t="s">
        <v>78</v>
      </c>
      <c r="J15" s="71" t="s">
        <v>165</v>
      </c>
      <c r="K15" s="109" t="s">
        <v>162</v>
      </c>
      <c r="L15" s="54" t="s">
        <v>167</v>
      </c>
      <c r="M15" s="79">
        <f>D13</f>
        <v>3280000</v>
      </c>
      <c r="N15" s="82">
        <v>3</v>
      </c>
      <c r="O15" s="82">
        <f>N15</f>
        <v>3</v>
      </c>
      <c r="P15" s="79">
        <f>M15*N15</f>
        <v>9840000</v>
      </c>
      <c r="Q15" s="83">
        <v>0.9</v>
      </c>
      <c r="R15" s="79">
        <f>P15-P15*Q15</f>
        <v>984000</v>
      </c>
    </row>
    <row r="16" spans="2:18" ht="26.25" thickBot="1" x14ac:dyDescent="0.3">
      <c r="B16" s="126" t="s">
        <v>156</v>
      </c>
      <c r="C16" s="127" t="s">
        <v>157</v>
      </c>
      <c r="D16" s="465"/>
      <c r="E16" s="465"/>
      <c r="H16" s="71" t="s">
        <v>8</v>
      </c>
      <c r="I16" s="71" t="s">
        <v>78</v>
      </c>
      <c r="J16" s="71" t="s">
        <v>169</v>
      </c>
      <c r="K16" s="109" t="s">
        <v>162</v>
      </c>
      <c r="L16" s="54" t="s">
        <v>167</v>
      </c>
      <c r="M16" s="79">
        <f>D6</f>
        <v>6000000</v>
      </c>
      <c r="N16" s="82">
        <v>3</v>
      </c>
      <c r="O16" s="82">
        <f>N16</f>
        <v>3</v>
      </c>
      <c r="P16" s="79">
        <f>M16*N16</f>
        <v>18000000</v>
      </c>
      <c r="Q16" s="83">
        <v>0.9</v>
      </c>
      <c r="R16" s="79">
        <f>P16-P16*Q16</f>
        <v>1800000</v>
      </c>
    </row>
    <row r="17" spans="2:18" ht="15.75" thickBot="1" x14ac:dyDescent="0.3">
      <c r="B17" s="128" t="s">
        <v>158</v>
      </c>
      <c r="C17" s="129" t="s">
        <v>159</v>
      </c>
      <c r="D17" s="465"/>
      <c r="E17" s="465"/>
      <c r="R17" s="73">
        <f>SUM(R13:R16)</f>
        <v>7674000</v>
      </c>
    </row>
    <row r="18" spans="2:18" ht="15.75" thickBot="1" x14ac:dyDescent="0.3">
      <c r="B18" s="126" t="s">
        <v>160</v>
      </c>
      <c r="C18" s="130" t="s">
        <v>161</v>
      </c>
      <c r="D18" s="466"/>
      <c r="E18" s="466"/>
    </row>
    <row r="20" spans="2:18" ht="15.75" thickBot="1" x14ac:dyDescent="0.3"/>
    <row r="21" spans="2:18" x14ac:dyDescent="0.25">
      <c r="B21" s="84"/>
      <c r="C21" s="84"/>
      <c r="D21" s="84"/>
      <c r="E21" s="84"/>
      <c r="F21" s="84"/>
      <c r="G21" s="84"/>
      <c r="H21" s="84"/>
      <c r="I21" s="84"/>
      <c r="J21" s="84"/>
      <c r="K21" s="85" t="e">
        <f>SUM(#REF!)</f>
        <v>#REF!</v>
      </c>
      <c r="L21" s="86"/>
      <c r="M21" s="59" t="e">
        <f>SUM(#REF!)</f>
        <v>#REF!</v>
      </c>
    </row>
  </sheetData>
  <mergeCells count="8">
    <mergeCell ref="H3:R3"/>
    <mergeCell ref="H11:R11"/>
    <mergeCell ref="B3:E3"/>
    <mergeCell ref="B5:B15"/>
    <mergeCell ref="D7:D11"/>
    <mergeCell ref="E7:E11"/>
    <mergeCell ref="D13:D18"/>
    <mergeCell ref="E13:E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94AC-4D47-4361-A340-74F74A2A424F}">
  <dimension ref="A1:E387"/>
  <sheetViews>
    <sheetView workbookViewId="0">
      <selection activeCell="E9" sqref="E9"/>
    </sheetView>
  </sheetViews>
  <sheetFormatPr baseColWidth="10" defaultRowHeight="15" x14ac:dyDescent="0.25"/>
  <cols>
    <col min="2" max="6" width="23.7109375" customWidth="1"/>
  </cols>
  <sheetData>
    <row r="1" spans="1:5" x14ac:dyDescent="0.25">
      <c r="A1" s="78"/>
      <c r="B1" s="78"/>
      <c r="C1" s="78"/>
      <c r="D1" s="78"/>
      <c r="E1" s="78"/>
    </row>
    <row r="2" spans="1:5" x14ac:dyDescent="0.25">
      <c r="A2" s="78"/>
      <c r="B2" s="78"/>
      <c r="C2" s="78"/>
      <c r="D2" s="78"/>
      <c r="E2" s="78"/>
    </row>
    <row r="3" spans="1:5" x14ac:dyDescent="0.25">
      <c r="A3" s="78"/>
      <c r="B3" s="78"/>
      <c r="C3" s="78"/>
      <c r="D3" s="78"/>
      <c r="E3" s="78"/>
    </row>
    <row r="4" spans="1:5" ht="15.75" x14ac:dyDescent="0.25">
      <c r="A4" s="78"/>
      <c r="B4" s="310" t="s">
        <v>445</v>
      </c>
      <c r="C4" s="310" t="s">
        <v>166</v>
      </c>
      <c r="D4" s="310" t="s">
        <v>446</v>
      </c>
      <c r="E4" s="310" t="s">
        <v>447</v>
      </c>
    </row>
    <row r="5" spans="1:5" x14ac:dyDescent="0.25">
      <c r="A5" s="78"/>
      <c r="B5" s="311" t="s">
        <v>448</v>
      </c>
      <c r="C5" s="311" t="s">
        <v>42</v>
      </c>
      <c r="D5" s="311" t="s">
        <v>449</v>
      </c>
      <c r="E5" s="312">
        <v>31000</v>
      </c>
    </row>
    <row r="6" spans="1:5" x14ac:dyDescent="0.25">
      <c r="A6" s="78"/>
      <c r="B6" s="311" t="s">
        <v>448</v>
      </c>
      <c r="C6" s="311" t="s">
        <v>450</v>
      </c>
      <c r="D6" s="311" t="s">
        <v>449</v>
      </c>
      <c r="E6" s="312">
        <v>54000</v>
      </c>
    </row>
    <row r="7" spans="1:5" x14ac:dyDescent="0.25">
      <c r="A7" s="78"/>
      <c r="B7" s="311" t="s">
        <v>448</v>
      </c>
      <c r="C7" s="311" t="s">
        <v>451</v>
      </c>
      <c r="D7" s="311" t="s">
        <v>449</v>
      </c>
      <c r="E7" s="312">
        <v>49000</v>
      </c>
    </row>
    <row r="8" spans="1:5" x14ac:dyDescent="0.25">
      <c r="A8" s="78"/>
      <c r="B8" s="311" t="s">
        <v>448</v>
      </c>
      <c r="C8" s="311" t="s">
        <v>452</v>
      </c>
      <c r="D8" s="311" t="s">
        <v>449</v>
      </c>
      <c r="E8" s="313" t="s">
        <v>14</v>
      </c>
    </row>
    <row r="9" spans="1:5" x14ac:dyDescent="0.25">
      <c r="A9" s="78"/>
      <c r="B9" s="311" t="s">
        <v>448</v>
      </c>
      <c r="C9" s="311" t="s">
        <v>47</v>
      </c>
      <c r="D9" s="311" t="s">
        <v>449</v>
      </c>
      <c r="E9" s="312">
        <v>16000000</v>
      </c>
    </row>
    <row r="10" spans="1:5" x14ac:dyDescent="0.25">
      <c r="A10" s="78"/>
      <c r="B10" s="311" t="s">
        <v>448</v>
      </c>
      <c r="C10" s="311" t="s">
        <v>48</v>
      </c>
      <c r="D10" s="311" t="s">
        <v>449</v>
      </c>
      <c r="E10" s="312">
        <v>18300000</v>
      </c>
    </row>
    <row r="11" spans="1:5" x14ac:dyDescent="0.25">
      <c r="A11" s="78"/>
      <c r="B11" s="311" t="s">
        <v>448</v>
      </c>
      <c r="C11" s="311" t="s">
        <v>49</v>
      </c>
      <c r="D11" s="311" t="s">
        <v>449</v>
      </c>
      <c r="E11" s="312">
        <v>1700000</v>
      </c>
    </row>
    <row r="12" spans="1:5" x14ac:dyDescent="0.25">
      <c r="A12" s="78"/>
      <c r="B12" s="311" t="s">
        <v>448</v>
      </c>
      <c r="C12" s="311" t="s">
        <v>46</v>
      </c>
      <c r="D12" s="311" t="s">
        <v>449</v>
      </c>
      <c r="E12" s="312">
        <v>2300000</v>
      </c>
    </row>
    <row r="13" spans="1:5" x14ac:dyDescent="0.25">
      <c r="A13" s="78"/>
      <c r="B13" s="311" t="s">
        <v>453</v>
      </c>
      <c r="C13" s="311" t="s">
        <v>454</v>
      </c>
      <c r="D13" s="311" t="s">
        <v>455</v>
      </c>
      <c r="E13" s="312">
        <v>7000000</v>
      </c>
    </row>
    <row r="14" spans="1:5" x14ac:dyDescent="0.25">
      <c r="A14" s="78"/>
      <c r="B14" s="311" t="s">
        <v>456</v>
      </c>
      <c r="C14" s="311" t="s">
        <v>457</v>
      </c>
      <c r="D14" s="311" t="s">
        <v>455</v>
      </c>
      <c r="E14" s="312">
        <v>4600000</v>
      </c>
    </row>
    <row r="15" spans="1:5" x14ac:dyDescent="0.25">
      <c r="A15" s="78"/>
      <c r="B15" s="311" t="s">
        <v>458</v>
      </c>
      <c r="C15" s="311" t="s">
        <v>457</v>
      </c>
      <c r="D15" s="311" t="s">
        <v>455</v>
      </c>
      <c r="E15" s="312">
        <v>7400000</v>
      </c>
    </row>
    <row r="16" spans="1:5" x14ac:dyDescent="0.25">
      <c r="A16" s="78"/>
      <c r="B16" s="311" t="s">
        <v>453</v>
      </c>
      <c r="C16" s="311" t="s">
        <v>459</v>
      </c>
      <c r="D16" s="311" t="s">
        <v>455</v>
      </c>
      <c r="E16" s="312">
        <v>2000000</v>
      </c>
    </row>
    <row r="17" spans="1:5" ht="105" x14ac:dyDescent="0.25">
      <c r="A17" s="78"/>
      <c r="B17" s="311" t="s">
        <v>453</v>
      </c>
      <c r="C17" s="311" t="s">
        <v>459</v>
      </c>
      <c r="D17" s="314" t="s">
        <v>460</v>
      </c>
      <c r="E17" s="312">
        <v>4000000</v>
      </c>
    </row>
    <row r="18" spans="1:5" ht="105" x14ac:dyDescent="0.25">
      <c r="A18" s="78"/>
      <c r="B18" s="311" t="s">
        <v>453</v>
      </c>
      <c r="C18" s="311" t="s">
        <v>461</v>
      </c>
      <c r="D18" s="314" t="s">
        <v>460</v>
      </c>
      <c r="E18" s="312">
        <v>3000000</v>
      </c>
    </row>
    <row r="19" spans="1:5" ht="105" x14ac:dyDescent="0.25">
      <c r="A19" s="78"/>
      <c r="B19" s="311" t="s">
        <v>453</v>
      </c>
      <c r="C19" s="311" t="s">
        <v>462</v>
      </c>
      <c r="D19" s="314" t="s">
        <v>463</v>
      </c>
      <c r="E19" s="312">
        <v>8670000</v>
      </c>
    </row>
    <row r="20" spans="1:5" ht="60" x14ac:dyDescent="0.25">
      <c r="A20" s="78"/>
      <c r="B20" s="311" t="s">
        <v>464</v>
      </c>
      <c r="C20" s="311" t="s">
        <v>465</v>
      </c>
      <c r="D20" s="314" t="s">
        <v>466</v>
      </c>
      <c r="E20" s="312">
        <v>720000</v>
      </c>
    </row>
    <row r="21" spans="1:5" ht="60" x14ac:dyDescent="0.25">
      <c r="A21" s="78"/>
      <c r="B21" s="311" t="s">
        <v>458</v>
      </c>
      <c r="C21" s="311" t="s">
        <v>465</v>
      </c>
      <c r="D21" s="314" t="s">
        <v>466</v>
      </c>
      <c r="E21" s="312">
        <v>1680000</v>
      </c>
    </row>
    <row r="22" spans="1:5" x14ac:dyDescent="0.25">
      <c r="A22" s="78"/>
      <c r="B22" s="311" t="s">
        <v>453</v>
      </c>
      <c r="C22" s="311" t="s">
        <v>467</v>
      </c>
      <c r="D22" s="311" t="s">
        <v>468</v>
      </c>
      <c r="E22" s="312">
        <v>4000000</v>
      </c>
    </row>
    <row r="23" spans="1:5" x14ac:dyDescent="0.25">
      <c r="A23" s="78"/>
      <c r="B23" s="311" t="s">
        <v>453</v>
      </c>
      <c r="C23" s="311" t="s">
        <v>467</v>
      </c>
      <c r="D23" s="311" t="s">
        <v>455</v>
      </c>
      <c r="E23" s="312">
        <v>7000000</v>
      </c>
    </row>
    <row r="24" spans="1:5" x14ac:dyDescent="0.25">
      <c r="A24" s="78"/>
      <c r="B24" s="311" t="s">
        <v>453</v>
      </c>
      <c r="C24" s="311" t="s">
        <v>469</v>
      </c>
      <c r="D24" s="311" t="s">
        <v>470</v>
      </c>
      <c r="E24" s="312">
        <v>4000000</v>
      </c>
    </row>
    <row r="25" spans="1:5" x14ac:dyDescent="0.25">
      <c r="A25" s="78"/>
      <c r="B25" s="311" t="s">
        <v>453</v>
      </c>
      <c r="C25" s="311" t="s">
        <v>471</v>
      </c>
      <c r="D25" s="311" t="s">
        <v>449</v>
      </c>
      <c r="E25" s="312">
        <v>5700000</v>
      </c>
    </row>
    <row r="26" spans="1:5" x14ac:dyDescent="0.25">
      <c r="A26" s="78"/>
      <c r="B26" s="311" t="s">
        <v>453</v>
      </c>
      <c r="C26" s="311" t="s">
        <v>472</v>
      </c>
      <c r="D26" s="311" t="s">
        <v>449</v>
      </c>
      <c r="E26" s="312">
        <v>2280000</v>
      </c>
    </row>
    <row r="27" spans="1:5" x14ac:dyDescent="0.25">
      <c r="A27" s="78"/>
      <c r="B27" s="311" t="s">
        <v>453</v>
      </c>
      <c r="C27" s="311" t="s">
        <v>473</v>
      </c>
      <c r="D27" s="311" t="s">
        <v>449</v>
      </c>
      <c r="E27" s="312">
        <v>1140000</v>
      </c>
    </row>
    <row r="28" spans="1:5" x14ac:dyDescent="0.25">
      <c r="A28" s="78"/>
      <c r="B28" s="311" t="s">
        <v>453</v>
      </c>
      <c r="C28" s="311" t="s">
        <v>474</v>
      </c>
      <c r="D28" s="311" t="s">
        <v>449</v>
      </c>
      <c r="E28" s="312">
        <v>1140000</v>
      </c>
    </row>
    <row r="29" spans="1:5" x14ac:dyDescent="0.25">
      <c r="A29" s="78"/>
      <c r="B29" s="311" t="s">
        <v>464</v>
      </c>
      <c r="C29" s="311" t="s">
        <v>475</v>
      </c>
      <c r="D29" s="311" t="s">
        <v>455</v>
      </c>
      <c r="E29" s="312">
        <v>10000000</v>
      </c>
    </row>
    <row r="30" spans="1:5" x14ac:dyDescent="0.25">
      <c r="A30" s="78"/>
      <c r="B30" s="311" t="s">
        <v>458</v>
      </c>
      <c r="C30" s="311" t="s">
        <v>475</v>
      </c>
      <c r="D30" s="311" t="s">
        <v>455</v>
      </c>
      <c r="E30" s="312">
        <v>10000000</v>
      </c>
    </row>
    <row r="31" spans="1:5" x14ac:dyDescent="0.25">
      <c r="A31" s="78"/>
      <c r="B31" s="311" t="s">
        <v>453</v>
      </c>
      <c r="C31" s="311" t="s">
        <v>476</v>
      </c>
      <c r="D31" s="311" t="s">
        <v>455</v>
      </c>
      <c r="E31" s="312">
        <v>5000000</v>
      </c>
    </row>
    <row r="32" spans="1:5" x14ac:dyDescent="0.25">
      <c r="A32" s="78"/>
      <c r="B32" s="311" t="s">
        <v>448</v>
      </c>
      <c r="C32" s="311" t="s">
        <v>477</v>
      </c>
      <c r="D32" s="311" t="s">
        <v>449</v>
      </c>
      <c r="E32" s="312">
        <v>12540000</v>
      </c>
    </row>
    <row r="33" spans="1:5" x14ac:dyDescent="0.25">
      <c r="A33" s="78"/>
      <c r="B33" s="311" t="s">
        <v>448</v>
      </c>
      <c r="C33" s="311" t="s">
        <v>478</v>
      </c>
      <c r="D33" s="311" t="s">
        <v>449</v>
      </c>
      <c r="E33" s="312">
        <v>9120000</v>
      </c>
    </row>
    <row r="34" spans="1:5" x14ac:dyDescent="0.25">
      <c r="A34" s="78"/>
      <c r="B34" s="311" t="s">
        <v>448</v>
      </c>
      <c r="C34" s="311" t="s">
        <v>479</v>
      </c>
      <c r="D34" s="311" t="s">
        <v>449</v>
      </c>
      <c r="E34" s="312">
        <v>30000000</v>
      </c>
    </row>
    <row r="35" spans="1:5" x14ac:dyDescent="0.25">
      <c r="A35" s="78"/>
      <c r="B35" s="311" t="s">
        <v>480</v>
      </c>
      <c r="C35" s="311" t="s">
        <v>26</v>
      </c>
      <c r="D35" s="311" t="s">
        <v>455</v>
      </c>
      <c r="E35" s="312">
        <v>2500000</v>
      </c>
    </row>
    <row r="36" spans="1:5" x14ac:dyDescent="0.25">
      <c r="A36" s="78"/>
      <c r="B36" s="311" t="s">
        <v>456</v>
      </c>
      <c r="C36" s="311" t="s">
        <v>26</v>
      </c>
      <c r="D36" s="311" t="s">
        <v>455</v>
      </c>
      <c r="E36" s="312">
        <v>3400000</v>
      </c>
    </row>
    <row r="37" spans="1:5" x14ac:dyDescent="0.25">
      <c r="A37" s="78"/>
      <c r="B37" s="311" t="s">
        <v>456</v>
      </c>
      <c r="C37" s="311" t="s">
        <v>481</v>
      </c>
      <c r="D37" s="311" t="s">
        <v>455</v>
      </c>
      <c r="E37" s="312">
        <v>4000000</v>
      </c>
    </row>
    <row r="38" spans="1:5" x14ac:dyDescent="0.25">
      <c r="A38" s="78"/>
      <c r="B38" s="311" t="s">
        <v>456</v>
      </c>
      <c r="C38" s="311" t="s">
        <v>51</v>
      </c>
      <c r="D38" s="311" t="s">
        <v>455</v>
      </c>
      <c r="E38" s="312">
        <v>3200000</v>
      </c>
    </row>
    <row r="39" spans="1:5" x14ac:dyDescent="0.25">
      <c r="A39" s="78"/>
      <c r="B39" s="311" t="s">
        <v>456</v>
      </c>
      <c r="C39" s="311" t="s">
        <v>482</v>
      </c>
      <c r="D39" s="311" t="s">
        <v>455</v>
      </c>
      <c r="E39" s="312">
        <v>5500000</v>
      </c>
    </row>
    <row r="40" spans="1:5" x14ac:dyDescent="0.25">
      <c r="A40" s="78"/>
      <c r="B40" s="311" t="s">
        <v>483</v>
      </c>
      <c r="C40" s="311" t="s">
        <v>26</v>
      </c>
      <c r="D40" s="311" t="s">
        <v>455</v>
      </c>
      <c r="E40" s="312">
        <v>2850000</v>
      </c>
    </row>
    <row r="41" spans="1:5" x14ac:dyDescent="0.25">
      <c r="A41" s="78"/>
      <c r="B41" s="311" t="s">
        <v>483</v>
      </c>
      <c r="C41" s="311" t="s">
        <v>481</v>
      </c>
      <c r="D41" s="311" t="s">
        <v>455</v>
      </c>
      <c r="E41" s="312">
        <v>3400000</v>
      </c>
    </row>
    <row r="42" spans="1:5" x14ac:dyDescent="0.25">
      <c r="A42" s="78"/>
      <c r="B42" s="311" t="s">
        <v>464</v>
      </c>
      <c r="C42" s="311" t="s">
        <v>484</v>
      </c>
      <c r="D42" s="311" t="s">
        <v>455</v>
      </c>
      <c r="E42" s="312">
        <v>8000000</v>
      </c>
    </row>
    <row r="43" spans="1:5" x14ac:dyDescent="0.25">
      <c r="A43" s="78"/>
      <c r="B43" s="311" t="s">
        <v>464</v>
      </c>
      <c r="C43" s="311" t="s">
        <v>485</v>
      </c>
      <c r="D43" s="311" t="s">
        <v>455</v>
      </c>
      <c r="E43" s="312">
        <v>2400000</v>
      </c>
    </row>
    <row r="44" spans="1:5" x14ac:dyDescent="0.25">
      <c r="A44" s="78"/>
      <c r="B44" s="311"/>
      <c r="C44" s="311"/>
      <c r="D44" s="311"/>
      <c r="E44" s="311"/>
    </row>
    <row r="45" spans="1:5" x14ac:dyDescent="0.25">
      <c r="A45" s="78"/>
      <c r="B45" s="315" t="s">
        <v>486</v>
      </c>
      <c r="C45" s="315" t="s">
        <v>42</v>
      </c>
      <c r="D45" s="315" t="s">
        <v>449</v>
      </c>
      <c r="E45" s="316">
        <v>2300000</v>
      </c>
    </row>
    <row r="46" spans="1:5" x14ac:dyDescent="0.25">
      <c r="A46" s="78"/>
      <c r="B46" s="315" t="s">
        <v>486</v>
      </c>
      <c r="C46" s="315" t="s">
        <v>450</v>
      </c>
      <c r="D46" s="315" t="s">
        <v>449</v>
      </c>
      <c r="E46" s="316">
        <v>54000</v>
      </c>
    </row>
    <row r="47" spans="1:5" x14ac:dyDescent="0.25">
      <c r="A47" s="78"/>
      <c r="B47" s="315" t="s">
        <v>486</v>
      </c>
      <c r="C47" s="315" t="s">
        <v>451</v>
      </c>
      <c r="D47" s="315" t="s">
        <v>449</v>
      </c>
      <c r="E47" s="317" t="s">
        <v>14</v>
      </c>
    </row>
    <row r="48" spans="1:5" x14ac:dyDescent="0.25">
      <c r="A48" s="78"/>
      <c r="B48" s="315" t="s">
        <v>486</v>
      </c>
      <c r="C48" s="315" t="s">
        <v>452</v>
      </c>
      <c r="D48" s="315" t="s">
        <v>449</v>
      </c>
      <c r="E48" s="315" t="s">
        <v>14</v>
      </c>
    </row>
    <row r="49" spans="1:5" x14ac:dyDescent="0.25">
      <c r="A49" s="78"/>
      <c r="B49" s="315" t="s">
        <v>486</v>
      </c>
      <c r="C49" s="315" t="s">
        <v>47</v>
      </c>
      <c r="D49" s="315" t="s">
        <v>449</v>
      </c>
      <c r="E49" s="316">
        <v>10300000</v>
      </c>
    </row>
    <row r="50" spans="1:5" x14ac:dyDescent="0.25">
      <c r="A50" s="78"/>
      <c r="B50" s="315" t="s">
        <v>486</v>
      </c>
      <c r="C50" s="315" t="s">
        <v>48</v>
      </c>
      <c r="D50" s="315" t="s">
        <v>449</v>
      </c>
      <c r="E50" s="316">
        <v>13700000</v>
      </c>
    </row>
    <row r="51" spans="1:5" x14ac:dyDescent="0.25">
      <c r="A51" s="78"/>
      <c r="B51" s="315" t="s">
        <v>486</v>
      </c>
      <c r="C51" s="315" t="s">
        <v>49</v>
      </c>
      <c r="D51" s="315" t="s">
        <v>449</v>
      </c>
      <c r="E51" s="316">
        <v>2900000</v>
      </c>
    </row>
    <row r="52" spans="1:5" x14ac:dyDescent="0.25">
      <c r="A52" s="78"/>
      <c r="B52" s="315" t="s">
        <v>486</v>
      </c>
      <c r="C52" s="315" t="s">
        <v>46</v>
      </c>
      <c r="D52" s="315" t="s">
        <v>449</v>
      </c>
      <c r="E52" s="316">
        <v>1700000</v>
      </c>
    </row>
    <row r="53" spans="1:5" x14ac:dyDescent="0.25">
      <c r="A53" s="78"/>
      <c r="B53" s="315" t="s">
        <v>487</v>
      </c>
      <c r="C53" s="315" t="s">
        <v>471</v>
      </c>
      <c r="D53" s="315" t="s">
        <v>449</v>
      </c>
      <c r="E53" s="316">
        <v>5700000</v>
      </c>
    </row>
    <row r="54" spans="1:5" x14ac:dyDescent="0.25">
      <c r="A54" s="78"/>
      <c r="B54" s="315" t="s">
        <v>487</v>
      </c>
      <c r="C54" s="315" t="s">
        <v>472</v>
      </c>
      <c r="D54" s="315" t="s">
        <v>449</v>
      </c>
      <c r="E54" s="316">
        <v>2280000</v>
      </c>
    </row>
    <row r="55" spans="1:5" x14ac:dyDescent="0.25">
      <c r="A55" s="78"/>
      <c r="B55" s="315" t="s">
        <v>487</v>
      </c>
      <c r="C55" s="315" t="s">
        <v>473</v>
      </c>
      <c r="D55" s="315" t="s">
        <v>449</v>
      </c>
      <c r="E55" s="316">
        <v>1140000</v>
      </c>
    </row>
    <row r="56" spans="1:5" x14ac:dyDescent="0.25">
      <c r="A56" s="78"/>
      <c r="B56" s="315" t="s">
        <v>487</v>
      </c>
      <c r="C56" s="315" t="s">
        <v>474</v>
      </c>
      <c r="D56" s="315" t="s">
        <v>449</v>
      </c>
      <c r="E56" s="316">
        <v>1140000</v>
      </c>
    </row>
    <row r="57" spans="1:5" x14ac:dyDescent="0.25">
      <c r="A57" s="78"/>
      <c r="B57" s="315" t="s">
        <v>486</v>
      </c>
      <c r="C57" s="315" t="s">
        <v>488</v>
      </c>
      <c r="D57" s="315" t="s">
        <v>449</v>
      </c>
      <c r="E57" s="316">
        <v>17100000</v>
      </c>
    </row>
    <row r="58" spans="1:5" x14ac:dyDescent="0.25">
      <c r="A58" s="78"/>
      <c r="B58" s="315" t="s">
        <v>486</v>
      </c>
      <c r="C58" s="315" t="s">
        <v>489</v>
      </c>
      <c r="D58" s="315" t="s">
        <v>449</v>
      </c>
      <c r="E58" s="316">
        <v>57000000</v>
      </c>
    </row>
    <row r="59" spans="1:5" x14ac:dyDescent="0.25">
      <c r="A59" s="318"/>
      <c r="B59" s="315" t="s">
        <v>490</v>
      </c>
      <c r="C59" s="315" t="s">
        <v>26</v>
      </c>
      <c r="D59" s="315" t="s">
        <v>455</v>
      </c>
      <c r="E59" s="316">
        <v>1300000</v>
      </c>
    </row>
    <row r="60" spans="1:5" x14ac:dyDescent="0.25">
      <c r="A60" s="318"/>
      <c r="B60" s="315" t="s">
        <v>491</v>
      </c>
      <c r="C60" s="315" t="s">
        <v>26</v>
      </c>
      <c r="D60" s="315" t="s">
        <v>455</v>
      </c>
      <c r="E60" s="316">
        <v>2000000</v>
      </c>
    </row>
    <row r="61" spans="1:5" x14ac:dyDescent="0.25">
      <c r="A61" s="318"/>
      <c r="B61" s="315" t="s">
        <v>491</v>
      </c>
      <c r="C61" s="315" t="s">
        <v>481</v>
      </c>
      <c r="D61" s="315" t="s">
        <v>455</v>
      </c>
      <c r="E61" s="316">
        <v>2500000</v>
      </c>
    </row>
    <row r="62" spans="1:5" x14ac:dyDescent="0.25">
      <c r="A62" s="318"/>
      <c r="B62" s="315" t="s">
        <v>491</v>
      </c>
      <c r="C62" s="315" t="s">
        <v>457</v>
      </c>
      <c r="D62" s="315" t="s">
        <v>455</v>
      </c>
      <c r="E62" s="316">
        <v>3000000</v>
      </c>
    </row>
    <row r="63" spans="1:5" x14ac:dyDescent="0.25">
      <c r="A63" s="78"/>
      <c r="B63" s="315" t="s">
        <v>491</v>
      </c>
      <c r="C63" s="315" t="s">
        <v>51</v>
      </c>
      <c r="D63" s="315" t="s">
        <v>455</v>
      </c>
      <c r="E63" s="316">
        <v>2100000</v>
      </c>
    </row>
    <row r="64" spans="1:5" x14ac:dyDescent="0.25">
      <c r="A64" s="78"/>
      <c r="B64" s="315" t="s">
        <v>492</v>
      </c>
      <c r="C64" s="315" t="s">
        <v>26</v>
      </c>
      <c r="D64" s="315" t="s">
        <v>455</v>
      </c>
      <c r="E64" s="316">
        <v>2000000</v>
      </c>
    </row>
    <row r="65" spans="1:5" x14ac:dyDescent="0.25">
      <c r="A65" s="78"/>
      <c r="B65" s="315" t="s">
        <v>492</v>
      </c>
      <c r="C65" s="315" t="s">
        <v>481</v>
      </c>
      <c r="D65" s="315" t="s">
        <v>455</v>
      </c>
      <c r="E65" s="316">
        <v>2500000</v>
      </c>
    </row>
    <row r="66" spans="1:5" x14ac:dyDescent="0.25">
      <c r="A66" s="78"/>
      <c r="B66" s="319" t="s">
        <v>493</v>
      </c>
      <c r="C66" s="319" t="s">
        <v>42</v>
      </c>
      <c r="D66" s="319" t="s">
        <v>449</v>
      </c>
      <c r="E66" s="320">
        <v>31000</v>
      </c>
    </row>
    <row r="67" spans="1:5" x14ac:dyDescent="0.25">
      <c r="A67" s="78"/>
      <c r="B67" s="319" t="s">
        <v>493</v>
      </c>
      <c r="C67" s="319" t="s">
        <v>43</v>
      </c>
      <c r="D67" s="319" t="s">
        <v>449</v>
      </c>
      <c r="E67" s="320">
        <v>74000</v>
      </c>
    </row>
    <row r="68" spans="1:5" x14ac:dyDescent="0.25">
      <c r="A68" s="78"/>
      <c r="B68" s="319" t="s">
        <v>493</v>
      </c>
      <c r="C68" s="319" t="s">
        <v>217</v>
      </c>
      <c r="D68" s="319" t="s">
        <v>449</v>
      </c>
      <c r="E68" s="320">
        <v>61500</v>
      </c>
    </row>
    <row r="69" spans="1:5" x14ac:dyDescent="0.25">
      <c r="A69" s="78"/>
      <c r="B69" s="319" t="s">
        <v>493</v>
      </c>
      <c r="C69" s="319" t="s">
        <v>289</v>
      </c>
      <c r="D69" s="319" t="s">
        <v>449</v>
      </c>
      <c r="E69" s="320">
        <v>20100</v>
      </c>
    </row>
    <row r="70" spans="1:5" x14ac:dyDescent="0.25">
      <c r="A70" s="78"/>
      <c r="B70" s="319" t="s">
        <v>493</v>
      </c>
      <c r="C70" s="319" t="s">
        <v>47</v>
      </c>
      <c r="D70" s="319" t="s">
        <v>449</v>
      </c>
      <c r="E70" s="320">
        <v>20500000</v>
      </c>
    </row>
    <row r="71" spans="1:5" x14ac:dyDescent="0.25">
      <c r="A71" s="78"/>
      <c r="B71" s="319" t="s">
        <v>493</v>
      </c>
      <c r="C71" s="319" t="s">
        <v>48</v>
      </c>
      <c r="D71" s="319" t="s">
        <v>449</v>
      </c>
      <c r="E71" s="320">
        <v>25000000</v>
      </c>
    </row>
    <row r="72" spans="1:5" x14ac:dyDescent="0.25">
      <c r="A72" s="78"/>
      <c r="B72" s="319" t="s">
        <v>493</v>
      </c>
      <c r="C72" s="319" t="s">
        <v>49</v>
      </c>
      <c r="D72" s="319" t="s">
        <v>449</v>
      </c>
      <c r="E72" s="320">
        <v>4000000</v>
      </c>
    </row>
    <row r="73" spans="1:5" x14ac:dyDescent="0.25">
      <c r="A73" s="78"/>
      <c r="B73" s="319" t="s">
        <v>493</v>
      </c>
      <c r="C73" s="319" t="s">
        <v>46</v>
      </c>
      <c r="D73" s="319" t="s">
        <v>449</v>
      </c>
      <c r="E73" s="320">
        <v>7000000</v>
      </c>
    </row>
    <row r="74" spans="1:5" x14ac:dyDescent="0.25">
      <c r="A74" s="78"/>
      <c r="B74" s="319" t="s">
        <v>494</v>
      </c>
      <c r="C74" s="319" t="s">
        <v>454</v>
      </c>
      <c r="D74" s="319" t="s">
        <v>455</v>
      </c>
      <c r="E74" s="320">
        <v>11000000</v>
      </c>
    </row>
    <row r="75" spans="1:5" x14ac:dyDescent="0.25">
      <c r="A75" s="78"/>
      <c r="B75" s="319" t="s">
        <v>495</v>
      </c>
      <c r="C75" s="319" t="s">
        <v>457</v>
      </c>
      <c r="D75" s="319" t="s">
        <v>455</v>
      </c>
      <c r="E75" s="320">
        <v>4000000</v>
      </c>
    </row>
    <row r="76" spans="1:5" x14ac:dyDescent="0.25">
      <c r="A76" s="78"/>
      <c r="B76" s="319" t="s">
        <v>496</v>
      </c>
      <c r="C76" s="319" t="s">
        <v>457</v>
      </c>
      <c r="D76" s="319" t="s">
        <v>455</v>
      </c>
      <c r="E76" s="320">
        <v>4000000</v>
      </c>
    </row>
    <row r="77" spans="1:5" x14ac:dyDescent="0.25">
      <c r="A77" s="78"/>
      <c r="B77" s="319" t="s">
        <v>494</v>
      </c>
      <c r="C77" s="319" t="s">
        <v>459</v>
      </c>
      <c r="D77" s="319" t="s">
        <v>497</v>
      </c>
      <c r="E77" s="320">
        <v>27000000</v>
      </c>
    </row>
    <row r="78" spans="1:5" ht="45" x14ac:dyDescent="0.25">
      <c r="A78" s="78"/>
      <c r="B78" s="319" t="s">
        <v>494</v>
      </c>
      <c r="C78" s="319" t="s">
        <v>459</v>
      </c>
      <c r="D78" s="321" t="s">
        <v>498</v>
      </c>
      <c r="E78" s="320">
        <v>12000000</v>
      </c>
    </row>
    <row r="79" spans="1:5" x14ac:dyDescent="0.25">
      <c r="A79" s="78"/>
      <c r="B79" s="319" t="s">
        <v>494</v>
      </c>
      <c r="C79" s="319" t="s">
        <v>459</v>
      </c>
      <c r="D79" s="319" t="s">
        <v>499</v>
      </c>
      <c r="E79" s="320">
        <v>20000000</v>
      </c>
    </row>
    <row r="80" spans="1:5" x14ac:dyDescent="0.25">
      <c r="A80" s="78"/>
      <c r="B80" s="319" t="s">
        <v>494</v>
      </c>
      <c r="C80" s="319" t="s">
        <v>459</v>
      </c>
      <c r="D80" s="319" t="s">
        <v>500</v>
      </c>
      <c r="E80" s="320">
        <v>6000000</v>
      </c>
    </row>
    <row r="81" spans="1:5" x14ac:dyDescent="0.25">
      <c r="A81" s="78"/>
      <c r="B81" s="319" t="s">
        <v>494</v>
      </c>
      <c r="C81" s="319" t="s">
        <v>501</v>
      </c>
      <c r="D81" s="319" t="s">
        <v>455</v>
      </c>
      <c r="E81" s="320">
        <v>2280000</v>
      </c>
    </row>
    <row r="82" spans="1:5" x14ac:dyDescent="0.25">
      <c r="A82" s="78"/>
      <c r="B82" s="319" t="s">
        <v>494</v>
      </c>
      <c r="C82" s="319" t="s">
        <v>502</v>
      </c>
      <c r="D82" s="319" t="s">
        <v>455</v>
      </c>
      <c r="E82" s="320">
        <v>4000000</v>
      </c>
    </row>
    <row r="83" spans="1:5" x14ac:dyDescent="0.25">
      <c r="A83" s="78"/>
      <c r="B83" s="319" t="s">
        <v>494</v>
      </c>
      <c r="C83" s="319" t="s">
        <v>503</v>
      </c>
      <c r="D83" s="319" t="s">
        <v>455</v>
      </c>
      <c r="E83" s="320">
        <v>12000000</v>
      </c>
    </row>
    <row r="84" spans="1:5" x14ac:dyDescent="0.25">
      <c r="A84" s="78"/>
      <c r="B84" s="319" t="s">
        <v>494</v>
      </c>
      <c r="C84" s="319" t="s">
        <v>504</v>
      </c>
      <c r="D84" s="319" t="s">
        <v>455</v>
      </c>
      <c r="E84" s="320">
        <v>3000000</v>
      </c>
    </row>
    <row r="85" spans="1:5" x14ac:dyDescent="0.25">
      <c r="A85" s="78"/>
      <c r="B85" s="319" t="s">
        <v>494</v>
      </c>
      <c r="C85" s="319" t="s">
        <v>505</v>
      </c>
      <c r="D85" s="319" t="s">
        <v>455</v>
      </c>
      <c r="E85" s="320">
        <v>4100000</v>
      </c>
    </row>
    <row r="86" spans="1:5" x14ac:dyDescent="0.25">
      <c r="A86" s="78"/>
      <c r="B86" s="319" t="s">
        <v>494</v>
      </c>
      <c r="C86" s="319" t="s">
        <v>506</v>
      </c>
      <c r="D86" s="319" t="s">
        <v>455</v>
      </c>
      <c r="E86" s="320">
        <v>3100000</v>
      </c>
    </row>
    <row r="87" spans="1:5" x14ac:dyDescent="0.25">
      <c r="A87" s="78"/>
      <c r="B87" s="319" t="s">
        <v>507</v>
      </c>
      <c r="C87" s="319" t="s">
        <v>465</v>
      </c>
      <c r="D87" s="319" t="s">
        <v>455</v>
      </c>
      <c r="E87" s="320">
        <v>720000</v>
      </c>
    </row>
    <row r="88" spans="1:5" x14ac:dyDescent="0.25">
      <c r="A88" s="78"/>
      <c r="B88" s="319" t="s">
        <v>496</v>
      </c>
      <c r="C88" s="319" t="s">
        <v>465</v>
      </c>
      <c r="D88" s="319" t="s">
        <v>455</v>
      </c>
      <c r="E88" s="320">
        <v>1680000</v>
      </c>
    </row>
    <row r="89" spans="1:5" ht="105" x14ac:dyDescent="0.25">
      <c r="A89" s="78"/>
      <c r="B89" s="319" t="s">
        <v>494</v>
      </c>
      <c r="C89" s="319" t="s">
        <v>469</v>
      </c>
      <c r="D89" s="321" t="s">
        <v>508</v>
      </c>
      <c r="E89" s="320">
        <v>8000000</v>
      </c>
    </row>
    <row r="90" spans="1:5" x14ac:dyDescent="0.25">
      <c r="A90" s="78"/>
      <c r="B90" s="319" t="s">
        <v>494</v>
      </c>
      <c r="C90" s="319" t="s">
        <v>467</v>
      </c>
      <c r="D90" s="319" t="s">
        <v>582</v>
      </c>
      <c r="E90" s="320">
        <v>10000000</v>
      </c>
    </row>
    <row r="91" spans="1:5" x14ac:dyDescent="0.25">
      <c r="A91" s="78"/>
      <c r="B91" s="319" t="s">
        <v>494</v>
      </c>
      <c r="C91" s="319" t="s">
        <v>469</v>
      </c>
      <c r="D91" s="319" t="s">
        <v>509</v>
      </c>
      <c r="E91" s="320">
        <v>26500000</v>
      </c>
    </row>
    <row r="92" spans="1:5" x14ac:dyDescent="0.25">
      <c r="A92" s="78"/>
      <c r="B92" s="319" t="s">
        <v>494</v>
      </c>
      <c r="C92" s="319" t="s">
        <v>471</v>
      </c>
      <c r="D92" s="319" t="s">
        <v>455</v>
      </c>
      <c r="E92" s="320">
        <v>7700000</v>
      </c>
    </row>
    <row r="93" spans="1:5" x14ac:dyDescent="0.25">
      <c r="A93" s="78"/>
      <c r="B93" s="319" t="s">
        <v>494</v>
      </c>
      <c r="C93" s="319" t="s">
        <v>472</v>
      </c>
      <c r="D93" s="319" t="s">
        <v>455</v>
      </c>
      <c r="E93" s="320">
        <v>2280000</v>
      </c>
    </row>
    <row r="94" spans="1:5" x14ac:dyDescent="0.25">
      <c r="A94" s="78"/>
      <c r="B94" s="319" t="s">
        <v>493</v>
      </c>
      <c r="C94" s="319" t="s">
        <v>510</v>
      </c>
      <c r="D94" s="319" t="s">
        <v>449</v>
      </c>
      <c r="E94" s="320">
        <v>6850000</v>
      </c>
    </row>
    <row r="95" spans="1:5" x14ac:dyDescent="0.25">
      <c r="A95" s="78"/>
      <c r="B95" s="319" t="s">
        <v>494</v>
      </c>
      <c r="C95" s="319" t="s">
        <v>473</v>
      </c>
      <c r="D95" s="319" t="s">
        <v>449</v>
      </c>
      <c r="E95" s="320">
        <v>1140000</v>
      </c>
    </row>
    <row r="96" spans="1:5" x14ac:dyDescent="0.25">
      <c r="A96" s="78"/>
      <c r="B96" s="319" t="s">
        <v>494</v>
      </c>
      <c r="C96" s="319" t="s">
        <v>474</v>
      </c>
      <c r="D96" s="319" t="s">
        <v>449</v>
      </c>
      <c r="E96" s="320">
        <v>1140000</v>
      </c>
    </row>
    <row r="97" spans="1:5" x14ac:dyDescent="0.25">
      <c r="A97" s="78"/>
      <c r="B97" s="319" t="s">
        <v>493</v>
      </c>
      <c r="C97" s="319" t="s">
        <v>511</v>
      </c>
      <c r="D97" s="319" t="s">
        <v>449</v>
      </c>
      <c r="E97" s="320">
        <v>25000000</v>
      </c>
    </row>
    <row r="98" spans="1:5" x14ac:dyDescent="0.25">
      <c r="A98" s="78"/>
      <c r="B98" s="319" t="s">
        <v>507</v>
      </c>
      <c r="C98" s="319" t="s">
        <v>475</v>
      </c>
      <c r="D98" s="319" t="s">
        <v>455</v>
      </c>
      <c r="E98" s="320">
        <v>15000000</v>
      </c>
    </row>
    <row r="99" spans="1:5" x14ac:dyDescent="0.25">
      <c r="A99" s="78"/>
      <c r="B99" s="319" t="s">
        <v>496</v>
      </c>
      <c r="C99" s="319" t="s">
        <v>475</v>
      </c>
      <c r="D99" s="319" t="s">
        <v>455</v>
      </c>
      <c r="E99" s="320">
        <v>15000000</v>
      </c>
    </row>
    <row r="100" spans="1:5" x14ac:dyDescent="0.25">
      <c r="A100" s="78"/>
      <c r="B100" s="319" t="s">
        <v>494</v>
      </c>
      <c r="C100" s="319" t="s">
        <v>476</v>
      </c>
      <c r="D100" s="319" t="s">
        <v>455</v>
      </c>
      <c r="E100" s="320">
        <v>5000000</v>
      </c>
    </row>
    <row r="101" spans="1:5" x14ac:dyDescent="0.25">
      <c r="A101" s="78"/>
      <c r="B101" s="319" t="s">
        <v>512</v>
      </c>
      <c r="C101" s="319" t="s">
        <v>26</v>
      </c>
      <c r="D101" s="319" t="s">
        <v>455</v>
      </c>
      <c r="E101" s="320">
        <v>1700000</v>
      </c>
    </row>
    <row r="102" spans="1:5" x14ac:dyDescent="0.25">
      <c r="A102" s="78"/>
      <c r="B102" s="319" t="s">
        <v>495</v>
      </c>
      <c r="C102" s="319" t="s">
        <v>26</v>
      </c>
      <c r="D102" s="319" t="s">
        <v>455</v>
      </c>
      <c r="E102" s="320">
        <v>2000000</v>
      </c>
    </row>
    <row r="103" spans="1:5" x14ac:dyDescent="0.25">
      <c r="A103" s="78"/>
      <c r="B103" s="319" t="s">
        <v>495</v>
      </c>
      <c r="C103" s="319" t="s">
        <v>481</v>
      </c>
      <c r="D103" s="319" t="s">
        <v>455</v>
      </c>
      <c r="E103" s="320">
        <v>2100000</v>
      </c>
    </row>
    <row r="104" spans="1:5" x14ac:dyDescent="0.25">
      <c r="A104" s="78"/>
      <c r="B104" s="319" t="s">
        <v>495</v>
      </c>
      <c r="C104" s="319" t="s">
        <v>457</v>
      </c>
      <c r="D104" s="319" t="s">
        <v>455</v>
      </c>
      <c r="E104" s="320">
        <v>4000000</v>
      </c>
    </row>
    <row r="105" spans="1:5" x14ac:dyDescent="0.25">
      <c r="A105" s="78"/>
      <c r="B105" s="319" t="s">
        <v>495</v>
      </c>
      <c r="C105" s="319" t="s">
        <v>51</v>
      </c>
      <c r="D105" s="319" t="s">
        <v>455</v>
      </c>
      <c r="E105" s="320">
        <v>2800000</v>
      </c>
    </row>
    <row r="106" spans="1:5" x14ac:dyDescent="0.25">
      <c r="A106" s="78"/>
      <c r="B106" s="319" t="s">
        <v>495</v>
      </c>
      <c r="C106" s="319" t="s">
        <v>482</v>
      </c>
      <c r="D106" s="319" t="s">
        <v>455</v>
      </c>
      <c r="E106" s="320">
        <v>6500000</v>
      </c>
    </row>
    <row r="107" spans="1:5" x14ac:dyDescent="0.25">
      <c r="A107" s="78"/>
      <c r="B107" s="319" t="s">
        <v>513</v>
      </c>
      <c r="C107" s="319" t="s">
        <v>26</v>
      </c>
      <c r="D107" s="319" t="s">
        <v>455</v>
      </c>
      <c r="E107" s="320">
        <v>4000000</v>
      </c>
    </row>
    <row r="108" spans="1:5" x14ac:dyDescent="0.25">
      <c r="A108" s="78"/>
      <c r="B108" s="319" t="s">
        <v>513</v>
      </c>
      <c r="C108" s="319" t="s">
        <v>481</v>
      </c>
      <c r="D108" s="319" t="s">
        <v>455</v>
      </c>
      <c r="E108" s="320">
        <v>3400000</v>
      </c>
    </row>
    <row r="109" spans="1:5" x14ac:dyDescent="0.25">
      <c r="A109" s="78"/>
      <c r="B109" s="319" t="s">
        <v>496</v>
      </c>
      <c r="C109" s="319" t="s">
        <v>457</v>
      </c>
      <c r="D109" s="319" t="s">
        <v>455</v>
      </c>
      <c r="E109" s="320">
        <v>4000000</v>
      </c>
    </row>
    <row r="110" spans="1:5" x14ac:dyDescent="0.25">
      <c r="A110" s="78"/>
      <c r="B110" s="319" t="s">
        <v>507</v>
      </c>
      <c r="C110" s="319" t="s">
        <v>484</v>
      </c>
      <c r="D110" s="319" t="s">
        <v>455</v>
      </c>
      <c r="E110" s="320">
        <v>10000000</v>
      </c>
    </row>
    <row r="111" spans="1:5" x14ac:dyDescent="0.25">
      <c r="A111" s="78"/>
      <c r="B111" s="319" t="s">
        <v>507</v>
      </c>
      <c r="C111" s="319" t="s">
        <v>485</v>
      </c>
      <c r="D111" s="319" t="s">
        <v>455</v>
      </c>
      <c r="E111" s="320">
        <v>3000000</v>
      </c>
    </row>
    <row r="112" spans="1:5" x14ac:dyDescent="0.25">
      <c r="A112" s="78"/>
      <c r="B112" s="319" t="s">
        <v>495</v>
      </c>
      <c r="C112" s="319" t="s">
        <v>514</v>
      </c>
      <c r="D112" s="319" t="s">
        <v>455</v>
      </c>
      <c r="E112" s="320">
        <v>370000</v>
      </c>
    </row>
    <row r="113" spans="1:5" x14ac:dyDescent="0.25">
      <c r="A113" s="78"/>
      <c r="B113" s="319" t="s">
        <v>513</v>
      </c>
      <c r="C113" s="319" t="s">
        <v>514</v>
      </c>
      <c r="D113" s="319" t="s">
        <v>455</v>
      </c>
      <c r="E113" s="320">
        <v>370000</v>
      </c>
    </row>
    <row r="114" spans="1:5" x14ac:dyDescent="0.25">
      <c r="A114" s="78"/>
      <c r="B114" s="319" t="s">
        <v>495</v>
      </c>
      <c r="C114" s="319" t="s">
        <v>515</v>
      </c>
      <c r="D114" s="319" t="s">
        <v>455</v>
      </c>
      <c r="E114" s="320">
        <v>984000</v>
      </c>
    </row>
    <row r="115" spans="1:5" x14ac:dyDescent="0.25">
      <c r="A115" s="78"/>
      <c r="B115" s="319" t="s">
        <v>513</v>
      </c>
      <c r="C115" s="319" t="s">
        <v>515</v>
      </c>
      <c r="D115" s="319" t="s">
        <v>455</v>
      </c>
      <c r="E115" s="320">
        <v>984000</v>
      </c>
    </row>
    <row r="116" spans="1:5" x14ac:dyDescent="0.25">
      <c r="A116" s="78"/>
      <c r="B116" s="319" t="s">
        <v>495</v>
      </c>
      <c r="C116" s="319" t="s">
        <v>516</v>
      </c>
      <c r="D116" s="319" t="s">
        <v>455</v>
      </c>
      <c r="E116" s="320">
        <v>492000</v>
      </c>
    </row>
    <row r="117" spans="1:5" x14ac:dyDescent="0.25">
      <c r="A117" s="78"/>
      <c r="B117" s="319" t="s">
        <v>513</v>
      </c>
      <c r="C117" s="319" t="s">
        <v>516</v>
      </c>
      <c r="D117" s="319" t="s">
        <v>455</v>
      </c>
      <c r="E117" s="320">
        <v>492000</v>
      </c>
    </row>
    <row r="118" spans="1:5" x14ac:dyDescent="0.25">
      <c r="A118" s="78"/>
      <c r="B118" s="319" t="s">
        <v>496</v>
      </c>
      <c r="C118" s="319" t="s">
        <v>515</v>
      </c>
      <c r="D118" s="319" t="s">
        <v>455</v>
      </c>
      <c r="E118" s="320">
        <v>984000</v>
      </c>
    </row>
    <row r="119" spans="1:5" x14ac:dyDescent="0.25">
      <c r="A119" s="78"/>
      <c r="B119" s="319" t="s">
        <v>495</v>
      </c>
      <c r="C119" s="319" t="s">
        <v>517</v>
      </c>
      <c r="D119" s="319" t="s">
        <v>455</v>
      </c>
      <c r="E119" s="320">
        <v>1000000</v>
      </c>
    </row>
    <row r="120" spans="1:5" x14ac:dyDescent="0.25">
      <c r="A120" s="78"/>
      <c r="B120" s="319" t="s">
        <v>495</v>
      </c>
      <c r="C120" s="319" t="s">
        <v>518</v>
      </c>
      <c r="D120" s="319" t="s">
        <v>455</v>
      </c>
      <c r="E120" s="320">
        <v>400000</v>
      </c>
    </row>
    <row r="121" spans="1:5" x14ac:dyDescent="0.25">
      <c r="A121" s="78"/>
      <c r="B121" s="319" t="s">
        <v>494</v>
      </c>
      <c r="C121" s="319" t="s">
        <v>519</v>
      </c>
      <c r="D121" s="319" t="s">
        <v>455</v>
      </c>
      <c r="E121" s="320">
        <v>22000</v>
      </c>
    </row>
    <row r="122" spans="1:5" x14ac:dyDescent="0.25">
      <c r="A122" s="78"/>
      <c r="B122" s="319" t="s">
        <v>494</v>
      </c>
      <c r="C122" s="319" t="s">
        <v>520</v>
      </c>
      <c r="D122" s="319" t="s">
        <v>455</v>
      </c>
      <c r="E122" s="320">
        <v>31500</v>
      </c>
    </row>
    <row r="123" spans="1:5" x14ac:dyDescent="0.25">
      <c r="A123" s="78"/>
      <c r="B123" s="322" t="s">
        <v>521</v>
      </c>
      <c r="C123" s="322" t="s">
        <v>42</v>
      </c>
      <c r="D123" s="322" t="s">
        <v>449</v>
      </c>
      <c r="E123" s="323">
        <v>28500</v>
      </c>
    </row>
    <row r="124" spans="1:5" x14ac:dyDescent="0.25">
      <c r="A124" s="78"/>
      <c r="B124" s="322" t="s">
        <v>521</v>
      </c>
      <c r="C124" s="322" t="s">
        <v>43</v>
      </c>
      <c r="D124" s="322" t="s">
        <v>449</v>
      </c>
      <c r="E124" s="323">
        <v>68500</v>
      </c>
    </row>
    <row r="125" spans="1:5" x14ac:dyDescent="0.25">
      <c r="A125" s="78"/>
      <c r="B125" s="322" t="s">
        <v>521</v>
      </c>
      <c r="C125" s="322" t="s">
        <v>217</v>
      </c>
      <c r="D125" s="322" t="s">
        <v>449</v>
      </c>
      <c r="E125" s="323">
        <v>57000</v>
      </c>
    </row>
    <row r="126" spans="1:5" x14ac:dyDescent="0.25">
      <c r="A126" s="78"/>
      <c r="B126" s="322" t="s">
        <v>521</v>
      </c>
      <c r="C126" s="322" t="s">
        <v>289</v>
      </c>
      <c r="D126" s="322" t="s">
        <v>449</v>
      </c>
      <c r="E126" s="323">
        <v>20100</v>
      </c>
    </row>
    <row r="127" spans="1:5" x14ac:dyDescent="0.25">
      <c r="A127" s="78"/>
      <c r="B127" s="322" t="s">
        <v>521</v>
      </c>
      <c r="C127" s="322" t="s">
        <v>47</v>
      </c>
      <c r="D127" s="322" t="s">
        <v>449</v>
      </c>
      <c r="E127" s="323">
        <v>7400000</v>
      </c>
    </row>
    <row r="128" spans="1:5" x14ac:dyDescent="0.25">
      <c r="A128" s="78"/>
      <c r="B128" s="322" t="s">
        <v>521</v>
      </c>
      <c r="C128" s="322" t="s">
        <v>48</v>
      </c>
      <c r="D128" s="322" t="s">
        <v>449</v>
      </c>
      <c r="E128" s="323">
        <v>9100000</v>
      </c>
    </row>
    <row r="129" spans="1:5" x14ac:dyDescent="0.25">
      <c r="A129" s="78"/>
      <c r="B129" s="322" t="s">
        <v>521</v>
      </c>
      <c r="C129" s="322" t="s">
        <v>49</v>
      </c>
      <c r="D129" s="322" t="s">
        <v>449</v>
      </c>
      <c r="E129" s="323">
        <v>2900000</v>
      </c>
    </row>
    <row r="130" spans="1:5" x14ac:dyDescent="0.25">
      <c r="A130" s="78"/>
      <c r="B130" s="322" t="s">
        <v>521</v>
      </c>
      <c r="C130" s="322" t="s">
        <v>46</v>
      </c>
      <c r="D130" s="322" t="s">
        <v>449</v>
      </c>
      <c r="E130" s="323">
        <v>1700000</v>
      </c>
    </row>
    <row r="131" spans="1:5" x14ac:dyDescent="0.25">
      <c r="A131" s="78"/>
      <c r="B131" s="322" t="s">
        <v>522</v>
      </c>
      <c r="C131" s="322" t="s">
        <v>469</v>
      </c>
      <c r="D131" s="322" t="s">
        <v>455</v>
      </c>
      <c r="E131" s="323">
        <v>5700000</v>
      </c>
    </row>
    <row r="132" spans="1:5" x14ac:dyDescent="0.25">
      <c r="A132" s="78"/>
      <c r="B132" s="322" t="s">
        <v>522</v>
      </c>
      <c r="C132" s="322" t="s">
        <v>523</v>
      </c>
      <c r="D132" s="322" t="s">
        <v>524</v>
      </c>
      <c r="E132" s="323">
        <v>5700000</v>
      </c>
    </row>
    <row r="133" spans="1:5" x14ac:dyDescent="0.25">
      <c r="A133" s="78"/>
      <c r="B133" s="322" t="s">
        <v>522</v>
      </c>
      <c r="C133" s="322" t="s">
        <v>525</v>
      </c>
      <c r="D133" s="322" t="s">
        <v>524</v>
      </c>
      <c r="E133" s="323">
        <v>5700000</v>
      </c>
    </row>
    <row r="134" spans="1:5" x14ac:dyDescent="0.25">
      <c r="A134" s="78"/>
      <c r="B134" s="322" t="s">
        <v>522</v>
      </c>
      <c r="C134" s="322" t="s">
        <v>454</v>
      </c>
      <c r="D134" s="322" t="s">
        <v>524</v>
      </c>
      <c r="E134" s="323">
        <v>5700000</v>
      </c>
    </row>
    <row r="135" spans="1:5" x14ac:dyDescent="0.25">
      <c r="A135" s="78"/>
      <c r="B135" s="322" t="s">
        <v>522</v>
      </c>
      <c r="C135" s="322" t="s">
        <v>526</v>
      </c>
      <c r="D135" s="324" t="s">
        <v>455</v>
      </c>
      <c r="E135" s="323">
        <v>1500000</v>
      </c>
    </row>
    <row r="136" spans="1:5" x14ac:dyDescent="0.25">
      <c r="A136" s="78"/>
      <c r="B136" s="322" t="s">
        <v>522</v>
      </c>
      <c r="C136" s="322" t="s">
        <v>527</v>
      </c>
      <c r="D136" s="322" t="s">
        <v>455</v>
      </c>
      <c r="E136" s="323">
        <v>1000000</v>
      </c>
    </row>
    <row r="137" spans="1:5" x14ac:dyDescent="0.25">
      <c r="A137" s="78"/>
      <c r="B137" s="322" t="s">
        <v>522</v>
      </c>
      <c r="C137" s="322" t="s">
        <v>459</v>
      </c>
      <c r="D137" s="322" t="s">
        <v>524</v>
      </c>
      <c r="E137" s="323">
        <v>2280000</v>
      </c>
    </row>
    <row r="138" spans="1:5" x14ac:dyDescent="0.25">
      <c r="A138" s="78"/>
      <c r="B138" s="322" t="s">
        <v>522</v>
      </c>
      <c r="C138" s="322" t="s">
        <v>502</v>
      </c>
      <c r="D138" s="322" t="s">
        <v>524</v>
      </c>
      <c r="E138" s="323">
        <v>2736000</v>
      </c>
    </row>
    <row r="139" spans="1:5" x14ac:dyDescent="0.25">
      <c r="A139" s="78"/>
      <c r="B139" s="322" t="s">
        <v>522</v>
      </c>
      <c r="C139" s="322" t="s">
        <v>461</v>
      </c>
      <c r="D139" s="322" t="s">
        <v>524</v>
      </c>
      <c r="E139" s="323">
        <v>5016000</v>
      </c>
    </row>
    <row r="140" spans="1:5" x14ac:dyDescent="0.25">
      <c r="A140" s="78"/>
      <c r="B140" s="322" t="s">
        <v>522</v>
      </c>
      <c r="C140" s="322" t="s">
        <v>528</v>
      </c>
      <c r="D140" s="322" t="s">
        <v>455</v>
      </c>
      <c r="E140" s="323">
        <v>1000000</v>
      </c>
    </row>
    <row r="141" spans="1:5" x14ac:dyDescent="0.25">
      <c r="A141" s="78"/>
      <c r="B141" s="322" t="s">
        <v>522</v>
      </c>
      <c r="C141" s="322" t="s">
        <v>529</v>
      </c>
      <c r="D141" s="322" t="s">
        <v>455</v>
      </c>
      <c r="E141" s="323">
        <v>1000000</v>
      </c>
    </row>
    <row r="142" spans="1:5" x14ac:dyDescent="0.25">
      <c r="A142" s="78"/>
      <c r="B142" s="322" t="s">
        <v>522</v>
      </c>
      <c r="C142" s="322" t="s">
        <v>530</v>
      </c>
      <c r="D142" s="322" t="s">
        <v>524</v>
      </c>
      <c r="E142" s="323">
        <v>414000</v>
      </c>
    </row>
    <row r="143" spans="1:5" x14ac:dyDescent="0.25">
      <c r="A143" s="78"/>
      <c r="B143" s="322" t="s">
        <v>522</v>
      </c>
      <c r="C143" s="322" t="s">
        <v>531</v>
      </c>
      <c r="D143" s="322" t="s">
        <v>524</v>
      </c>
      <c r="E143" s="323">
        <v>759000</v>
      </c>
    </row>
    <row r="144" spans="1:5" x14ac:dyDescent="0.25">
      <c r="A144" s="78"/>
      <c r="B144" s="322" t="s">
        <v>522</v>
      </c>
      <c r="C144" s="322" t="s">
        <v>530</v>
      </c>
      <c r="D144" s="322" t="s">
        <v>455</v>
      </c>
      <c r="E144" s="323">
        <v>414000</v>
      </c>
    </row>
    <row r="145" spans="1:5" x14ac:dyDescent="0.25">
      <c r="A145" s="78"/>
      <c r="B145" s="322" t="s">
        <v>522</v>
      </c>
      <c r="C145" s="322" t="s">
        <v>531</v>
      </c>
      <c r="D145" s="322" t="s">
        <v>455</v>
      </c>
      <c r="E145" s="323">
        <v>759000</v>
      </c>
    </row>
    <row r="146" spans="1:5" x14ac:dyDescent="0.25">
      <c r="A146" s="78"/>
      <c r="B146" s="322" t="s">
        <v>522</v>
      </c>
      <c r="C146" s="322" t="s">
        <v>504</v>
      </c>
      <c r="D146" s="322" t="s">
        <v>455</v>
      </c>
      <c r="E146" s="323">
        <v>2500000</v>
      </c>
    </row>
    <row r="147" spans="1:5" x14ac:dyDescent="0.25">
      <c r="A147" s="78"/>
      <c r="B147" s="322" t="s">
        <v>522</v>
      </c>
      <c r="C147" s="322" t="s">
        <v>506</v>
      </c>
      <c r="D147" s="322" t="s">
        <v>455</v>
      </c>
      <c r="E147" s="323">
        <v>2100000</v>
      </c>
    </row>
    <row r="148" spans="1:5" x14ac:dyDescent="0.25">
      <c r="A148" s="78"/>
      <c r="B148" s="322" t="s">
        <v>522</v>
      </c>
      <c r="C148" s="322" t="s">
        <v>462</v>
      </c>
      <c r="D148" s="322" t="s">
        <v>455</v>
      </c>
      <c r="E148" s="323">
        <v>6309558</v>
      </c>
    </row>
    <row r="149" spans="1:5" x14ac:dyDescent="0.25">
      <c r="A149" s="78"/>
      <c r="B149" s="322" t="s">
        <v>522</v>
      </c>
      <c r="C149" s="322" t="s">
        <v>462</v>
      </c>
      <c r="D149" s="322" t="s">
        <v>524</v>
      </c>
      <c r="E149" s="323">
        <v>6309558</v>
      </c>
    </row>
    <row r="150" spans="1:5" x14ac:dyDescent="0.25">
      <c r="A150" s="78"/>
      <c r="B150" s="322" t="s">
        <v>522</v>
      </c>
      <c r="C150" s="322" t="s">
        <v>532</v>
      </c>
      <c r="D150" s="322" t="s">
        <v>455</v>
      </c>
      <c r="E150" s="323">
        <v>2911778</v>
      </c>
    </row>
    <row r="151" spans="1:5" x14ac:dyDescent="0.25">
      <c r="A151" s="78"/>
      <c r="B151" s="322" t="s">
        <v>522</v>
      </c>
      <c r="C151" s="322" t="s">
        <v>533</v>
      </c>
      <c r="D151" s="322" t="s">
        <v>455</v>
      </c>
      <c r="E151" s="323">
        <v>2911778</v>
      </c>
    </row>
    <row r="152" spans="1:5" x14ac:dyDescent="0.25">
      <c r="A152" s="78"/>
      <c r="B152" s="322" t="s">
        <v>522</v>
      </c>
      <c r="C152" s="322" t="s">
        <v>534</v>
      </c>
      <c r="D152" s="322" t="s">
        <v>455</v>
      </c>
      <c r="E152" s="323">
        <v>1396386</v>
      </c>
    </row>
    <row r="153" spans="1:5" x14ac:dyDescent="0.25">
      <c r="A153" s="78"/>
      <c r="B153" s="322" t="s">
        <v>535</v>
      </c>
      <c r="C153" s="322" t="s">
        <v>465</v>
      </c>
      <c r="D153" s="322" t="s">
        <v>455</v>
      </c>
      <c r="E153" s="323">
        <v>720000</v>
      </c>
    </row>
    <row r="154" spans="1:5" x14ac:dyDescent="0.25">
      <c r="A154" s="78"/>
      <c r="B154" s="322" t="s">
        <v>536</v>
      </c>
      <c r="C154" s="322" t="s">
        <v>465</v>
      </c>
      <c r="D154" s="322" t="s">
        <v>455</v>
      </c>
      <c r="E154" s="323">
        <v>1680000</v>
      </c>
    </row>
    <row r="155" spans="1:5" x14ac:dyDescent="0.25">
      <c r="A155" s="78"/>
      <c r="B155" s="322" t="s">
        <v>535</v>
      </c>
      <c r="C155" s="322" t="s">
        <v>465</v>
      </c>
      <c r="D155" s="322" t="s">
        <v>524</v>
      </c>
      <c r="E155" s="323">
        <v>720000</v>
      </c>
    </row>
    <row r="156" spans="1:5" x14ac:dyDescent="0.25">
      <c r="A156" s="78"/>
      <c r="B156" s="322" t="s">
        <v>536</v>
      </c>
      <c r="C156" s="322" t="s">
        <v>465</v>
      </c>
      <c r="D156" s="322" t="s">
        <v>524</v>
      </c>
      <c r="E156" s="323">
        <v>1680000</v>
      </c>
    </row>
    <row r="157" spans="1:5" x14ac:dyDescent="0.25">
      <c r="A157" s="78"/>
      <c r="B157" s="322" t="s">
        <v>522</v>
      </c>
      <c r="C157" s="322" t="s">
        <v>469</v>
      </c>
      <c r="D157" s="322" t="s">
        <v>537</v>
      </c>
      <c r="E157" s="323">
        <v>5000000</v>
      </c>
    </row>
    <row r="158" spans="1:5" x14ac:dyDescent="0.25">
      <c r="A158" s="78"/>
      <c r="B158" s="322" t="s">
        <v>522</v>
      </c>
      <c r="C158" s="322" t="s">
        <v>469</v>
      </c>
      <c r="D158" s="322" t="s">
        <v>455</v>
      </c>
      <c r="E158" s="323">
        <v>5000000</v>
      </c>
    </row>
    <row r="159" spans="1:5" x14ac:dyDescent="0.25">
      <c r="A159" s="78"/>
      <c r="B159" s="322" t="s">
        <v>522</v>
      </c>
      <c r="C159" s="322" t="s">
        <v>467</v>
      </c>
      <c r="D159" s="322" t="s">
        <v>455</v>
      </c>
      <c r="E159" s="323">
        <v>5000000</v>
      </c>
    </row>
    <row r="160" spans="1:5" x14ac:dyDescent="0.25">
      <c r="A160" s="78"/>
      <c r="B160" s="322" t="s">
        <v>522</v>
      </c>
      <c r="C160" s="322" t="s">
        <v>467</v>
      </c>
      <c r="D160" s="322" t="s">
        <v>538</v>
      </c>
      <c r="E160" s="323">
        <v>5000000</v>
      </c>
    </row>
    <row r="161" spans="1:5" x14ac:dyDescent="0.25">
      <c r="A161" s="78"/>
      <c r="B161" s="322" t="s">
        <v>522</v>
      </c>
      <c r="C161" s="322" t="s">
        <v>467</v>
      </c>
      <c r="D161" s="322" t="s">
        <v>539</v>
      </c>
      <c r="E161" s="323">
        <v>2000000</v>
      </c>
    </row>
    <row r="162" spans="1:5" x14ac:dyDescent="0.25">
      <c r="A162" s="78"/>
      <c r="B162" s="322" t="s">
        <v>522</v>
      </c>
      <c r="C162" s="322" t="s">
        <v>469</v>
      </c>
      <c r="D162" s="322" t="s">
        <v>540</v>
      </c>
      <c r="E162" s="323">
        <v>6000000</v>
      </c>
    </row>
    <row r="163" spans="1:5" x14ac:dyDescent="0.25">
      <c r="A163" s="78"/>
      <c r="B163" s="322" t="s">
        <v>522</v>
      </c>
      <c r="C163" s="322" t="s">
        <v>471</v>
      </c>
      <c r="D163" s="322" t="s">
        <v>455</v>
      </c>
      <c r="E163" s="323">
        <v>5700000</v>
      </c>
    </row>
    <row r="164" spans="1:5" x14ac:dyDescent="0.25">
      <c r="A164" s="78"/>
      <c r="B164" s="322" t="s">
        <v>522</v>
      </c>
      <c r="C164" s="322" t="s">
        <v>541</v>
      </c>
      <c r="D164" s="322" t="s">
        <v>455</v>
      </c>
      <c r="E164" s="323">
        <v>2280000</v>
      </c>
    </row>
    <row r="165" spans="1:5" x14ac:dyDescent="0.25">
      <c r="A165" s="78"/>
      <c r="B165" s="322" t="s">
        <v>521</v>
      </c>
      <c r="C165" s="322" t="s">
        <v>510</v>
      </c>
      <c r="D165" s="322" t="s">
        <v>449</v>
      </c>
      <c r="E165" s="323">
        <v>6850000</v>
      </c>
    </row>
    <row r="166" spans="1:5" x14ac:dyDescent="0.25">
      <c r="A166" s="78"/>
      <c r="B166" s="322" t="s">
        <v>521</v>
      </c>
      <c r="C166" s="322" t="s">
        <v>473</v>
      </c>
      <c r="D166" s="322" t="s">
        <v>449</v>
      </c>
      <c r="E166" s="323">
        <v>1140000</v>
      </c>
    </row>
    <row r="167" spans="1:5" x14ac:dyDescent="0.25">
      <c r="A167" s="78"/>
      <c r="B167" s="322" t="s">
        <v>521</v>
      </c>
      <c r="C167" s="322" t="s">
        <v>474</v>
      </c>
      <c r="D167" s="322" t="s">
        <v>449</v>
      </c>
      <c r="E167" s="323">
        <v>1140000</v>
      </c>
    </row>
    <row r="168" spans="1:5" x14ac:dyDescent="0.25">
      <c r="A168" s="78"/>
      <c r="B168" s="322" t="s">
        <v>535</v>
      </c>
      <c r="C168" s="322" t="s">
        <v>475</v>
      </c>
      <c r="D168" s="322" t="s">
        <v>455</v>
      </c>
      <c r="E168" s="323">
        <v>10000000</v>
      </c>
    </row>
    <row r="169" spans="1:5" x14ac:dyDescent="0.25">
      <c r="A169" s="78"/>
      <c r="B169" s="322" t="s">
        <v>536</v>
      </c>
      <c r="C169" s="322" t="s">
        <v>475</v>
      </c>
      <c r="D169" s="322" t="s">
        <v>455</v>
      </c>
      <c r="E169" s="323">
        <v>10000000</v>
      </c>
    </row>
    <row r="170" spans="1:5" x14ac:dyDescent="0.25">
      <c r="A170" s="78"/>
      <c r="B170" s="322" t="s">
        <v>522</v>
      </c>
      <c r="C170" s="322" t="s">
        <v>476</v>
      </c>
      <c r="D170" s="322" t="s">
        <v>455</v>
      </c>
      <c r="E170" s="323">
        <v>5000000</v>
      </c>
    </row>
    <row r="171" spans="1:5" x14ac:dyDescent="0.25">
      <c r="A171" s="78"/>
      <c r="B171" s="322" t="s">
        <v>542</v>
      </c>
      <c r="C171" s="322" t="s">
        <v>26</v>
      </c>
      <c r="D171" s="322" t="s">
        <v>455</v>
      </c>
      <c r="E171" s="323">
        <v>1300000</v>
      </c>
    </row>
    <row r="172" spans="1:5" x14ac:dyDescent="0.25">
      <c r="A172" s="78"/>
      <c r="B172" s="322" t="s">
        <v>543</v>
      </c>
      <c r="C172" s="322" t="s">
        <v>26</v>
      </c>
      <c r="D172" s="322" t="s">
        <v>455</v>
      </c>
      <c r="E172" s="323">
        <v>1000000</v>
      </c>
    </row>
    <row r="173" spans="1:5" x14ac:dyDescent="0.25">
      <c r="A173" s="78"/>
      <c r="B173" s="322" t="s">
        <v>543</v>
      </c>
      <c r="C173" s="322" t="s">
        <v>481</v>
      </c>
      <c r="D173" s="322" t="s">
        <v>455</v>
      </c>
      <c r="E173" s="323">
        <v>2700000</v>
      </c>
    </row>
    <row r="174" spans="1:5" x14ac:dyDescent="0.25">
      <c r="A174" s="78"/>
      <c r="B174" s="322" t="s">
        <v>543</v>
      </c>
      <c r="C174" s="322" t="s">
        <v>457</v>
      </c>
      <c r="D174" s="322" t="s">
        <v>455</v>
      </c>
      <c r="E174" s="323">
        <v>2500000</v>
      </c>
    </row>
    <row r="175" spans="1:5" x14ac:dyDescent="0.25">
      <c r="A175" s="78"/>
      <c r="B175" s="322" t="s">
        <v>543</v>
      </c>
      <c r="C175" s="322" t="s">
        <v>51</v>
      </c>
      <c r="D175" s="322" t="s">
        <v>455</v>
      </c>
      <c r="E175" s="323">
        <v>1750000</v>
      </c>
    </row>
    <row r="176" spans="1:5" x14ac:dyDescent="0.25">
      <c r="A176" s="78"/>
      <c r="B176" s="322" t="s">
        <v>543</v>
      </c>
      <c r="C176" s="322" t="s">
        <v>482</v>
      </c>
      <c r="D176" s="322" t="s">
        <v>455</v>
      </c>
      <c r="E176" s="323">
        <v>5500000</v>
      </c>
    </row>
    <row r="177" spans="1:5" x14ac:dyDescent="0.25">
      <c r="A177" s="78"/>
      <c r="B177" s="322" t="s">
        <v>544</v>
      </c>
      <c r="C177" s="322" t="s">
        <v>26</v>
      </c>
      <c r="D177" s="322" t="s">
        <v>455</v>
      </c>
      <c r="E177" s="323">
        <v>1000000</v>
      </c>
    </row>
    <row r="178" spans="1:5" x14ac:dyDescent="0.25">
      <c r="A178" s="78"/>
      <c r="B178" s="322" t="s">
        <v>544</v>
      </c>
      <c r="C178" s="322" t="s">
        <v>481</v>
      </c>
      <c r="D178" s="322" t="s">
        <v>455</v>
      </c>
      <c r="E178" s="323">
        <v>800000</v>
      </c>
    </row>
    <row r="179" spans="1:5" x14ac:dyDescent="0.25">
      <c r="A179" s="78"/>
      <c r="B179" s="322" t="s">
        <v>536</v>
      </c>
      <c r="C179" s="322" t="s">
        <v>457</v>
      </c>
      <c r="D179" s="322" t="s">
        <v>455</v>
      </c>
      <c r="E179" s="323">
        <v>7400000</v>
      </c>
    </row>
    <row r="180" spans="1:5" x14ac:dyDescent="0.25">
      <c r="A180" s="78"/>
      <c r="B180" s="322" t="s">
        <v>535</v>
      </c>
      <c r="C180" s="322" t="s">
        <v>484</v>
      </c>
      <c r="D180" s="322" t="s">
        <v>455</v>
      </c>
      <c r="E180" s="323">
        <v>8000000</v>
      </c>
    </row>
    <row r="181" spans="1:5" x14ac:dyDescent="0.25">
      <c r="A181" s="78"/>
      <c r="B181" s="322" t="s">
        <v>535</v>
      </c>
      <c r="C181" s="322" t="s">
        <v>485</v>
      </c>
      <c r="D181" s="322" t="s">
        <v>455</v>
      </c>
      <c r="E181" s="323">
        <v>2400000</v>
      </c>
    </row>
    <row r="182" spans="1:5" x14ac:dyDescent="0.25">
      <c r="A182" s="78"/>
      <c r="B182" s="322" t="s">
        <v>543</v>
      </c>
      <c r="C182" s="322" t="s">
        <v>514</v>
      </c>
      <c r="D182" s="322" t="s">
        <v>455</v>
      </c>
      <c r="E182" s="323">
        <v>340000</v>
      </c>
    </row>
    <row r="183" spans="1:5" x14ac:dyDescent="0.25">
      <c r="A183" s="78"/>
      <c r="B183" s="322" t="s">
        <v>544</v>
      </c>
      <c r="C183" s="322" t="s">
        <v>514</v>
      </c>
      <c r="D183" s="322" t="s">
        <v>455</v>
      </c>
      <c r="E183" s="323">
        <v>340000</v>
      </c>
    </row>
    <row r="184" spans="1:5" x14ac:dyDescent="0.25">
      <c r="A184" s="78"/>
      <c r="B184" s="322" t="s">
        <v>543</v>
      </c>
      <c r="C184" s="322" t="s">
        <v>515</v>
      </c>
      <c r="D184" s="322" t="s">
        <v>455</v>
      </c>
      <c r="E184" s="323">
        <v>900000</v>
      </c>
    </row>
    <row r="185" spans="1:5" x14ac:dyDescent="0.25">
      <c r="A185" s="78"/>
      <c r="B185" s="322" t="s">
        <v>544</v>
      </c>
      <c r="C185" s="322" t="s">
        <v>515</v>
      </c>
      <c r="D185" s="322" t="s">
        <v>455</v>
      </c>
      <c r="E185" s="323">
        <v>900000</v>
      </c>
    </row>
    <row r="186" spans="1:5" x14ac:dyDescent="0.25">
      <c r="A186" s="78"/>
      <c r="B186" s="322" t="s">
        <v>543</v>
      </c>
      <c r="C186" s="322" t="s">
        <v>516</v>
      </c>
      <c r="D186" s="322" t="s">
        <v>455</v>
      </c>
      <c r="E186" s="323">
        <v>400000</v>
      </c>
    </row>
    <row r="187" spans="1:5" x14ac:dyDescent="0.25">
      <c r="A187" s="78"/>
      <c r="B187" s="322" t="s">
        <v>544</v>
      </c>
      <c r="C187" s="322" t="s">
        <v>516</v>
      </c>
      <c r="D187" s="322" t="s">
        <v>455</v>
      </c>
      <c r="E187" s="323">
        <v>400000</v>
      </c>
    </row>
    <row r="188" spans="1:5" x14ac:dyDescent="0.25">
      <c r="A188" s="78"/>
      <c r="B188" s="322" t="s">
        <v>536</v>
      </c>
      <c r="C188" s="322" t="s">
        <v>515</v>
      </c>
      <c r="D188" s="322" t="s">
        <v>455</v>
      </c>
      <c r="E188" s="323">
        <v>900000</v>
      </c>
    </row>
    <row r="189" spans="1:5" x14ac:dyDescent="0.25">
      <c r="A189" s="78"/>
      <c r="B189" s="322" t="s">
        <v>545</v>
      </c>
      <c r="C189" s="322" t="s">
        <v>517</v>
      </c>
      <c r="D189" s="322" t="s">
        <v>455</v>
      </c>
      <c r="E189" s="323">
        <v>1000000</v>
      </c>
    </row>
    <row r="190" spans="1:5" x14ac:dyDescent="0.25">
      <c r="A190" s="78"/>
      <c r="B190" s="322" t="s">
        <v>545</v>
      </c>
      <c r="C190" s="322" t="s">
        <v>518</v>
      </c>
      <c r="D190" s="322" t="s">
        <v>455</v>
      </c>
      <c r="E190" s="323">
        <v>360000</v>
      </c>
    </row>
    <row r="191" spans="1:5" x14ac:dyDescent="0.25">
      <c r="A191" s="78"/>
      <c r="B191" s="322" t="s">
        <v>535</v>
      </c>
      <c r="C191" s="322" t="s">
        <v>546</v>
      </c>
      <c r="D191" s="322" t="s">
        <v>524</v>
      </c>
      <c r="E191" s="323">
        <v>496800</v>
      </c>
    </row>
    <row r="192" spans="1:5" x14ac:dyDescent="0.25">
      <c r="A192" s="78"/>
      <c r="B192" s="322" t="s">
        <v>536</v>
      </c>
      <c r="C192" s="322" t="s">
        <v>546</v>
      </c>
      <c r="D192" s="322" t="s">
        <v>524</v>
      </c>
      <c r="E192" s="323">
        <v>1159200</v>
      </c>
    </row>
    <row r="193" spans="1:5" x14ac:dyDescent="0.25">
      <c r="A193" s="78"/>
      <c r="B193" s="322" t="s">
        <v>535</v>
      </c>
      <c r="C193" s="322" t="s">
        <v>547</v>
      </c>
      <c r="D193" s="322" t="s">
        <v>524</v>
      </c>
      <c r="E193" s="323">
        <v>1216800</v>
      </c>
    </row>
    <row r="194" spans="1:5" x14ac:dyDescent="0.25">
      <c r="A194" s="78"/>
      <c r="B194" s="322" t="s">
        <v>536</v>
      </c>
      <c r="C194" s="322" t="s">
        <v>547</v>
      </c>
      <c r="D194" s="322" t="s">
        <v>524</v>
      </c>
      <c r="E194" s="323">
        <v>2839200</v>
      </c>
    </row>
    <row r="195" spans="1:5" x14ac:dyDescent="0.25">
      <c r="A195" s="78"/>
      <c r="B195" s="322" t="s">
        <v>522</v>
      </c>
      <c r="C195" s="322" t="s">
        <v>519</v>
      </c>
      <c r="D195" s="322" t="s">
        <v>455</v>
      </c>
      <c r="E195" s="323">
        <v>22000</v>
      </c>
    </row>
    <row r="196" spans="1:5" x14ac:dyDescent="0.25">
      <c r="A196" s="78"/>
      <c r="B196" s="322" t="s">
        <v>522</v>
      </c>
      <c r="C196" s="322" t="s">
        <v>520</v>
      </c>
      <c r="D196" s="322" t="s">
        <v>455</v>
      </c>
      <c r="E196" s="323">
        <v>31500</v>
      </c>
    </row>
    <row r="197" spans="1:5" x14ac:dyDescent="0.25">
      <c r="A197" s="78"/>
      <c r="B197" s="325" t="s">
        <v>548</v>
      </c>
      <c r="C197" s="325" t="s">
        <v>42</v>
      </c>
      <c r="D197" s="325"/>
      <c r="E197" s="326">
        <v>28500</v>
      </c>
    </row>
    <row r="198" spans="1:5" x14ac:dyDescent="0.25">
      <c r="A198" s="78"/>
      <c r="B198" s="325" t="s">
        <v>548</v>
      </c>
      <c r="C198" s="325" t="s">
        <v>43</v>
      </c>
      <c r="D198" s="325"/>
      <c r="E198" s="326">
        <v>68500</v>
      </c>
    </row>
    <row r="199" spans="1:5" x14ac:dyDescent="0.25">
      <c r="A199" s="78"/>
      <c r="B199" s="325" t="s">
        <v>548</v>
      </c>
      <c r="C199" s="325" t="s">
        <v>217</v>
      </c>
      <c r="D199" s="325"/>
      <c r="E199" s="326">
        <v>57000</v>
      </c>
    </row>
    <row r="200" spans="1:5" x14ac:dyDescent="0.25">
      <c r="A200" s="78"/>
      <c r="B200" s="325" t="s">
        <v>548</v>
      </c>
      <c r="C200" s="325" t="s">
        <v>289</v>
      </c>
      <c r="D200" s="325"/>
      <c r="E200" s="326">
        <v>20100</v>
      </c>
    </row>
    <row r="201" spans="1:5" x14ac:dyDescent="0.25">
      <c r="A201" s="78"/>
      <c r="B201" s="325" t="s">
        <v>548</v>
      </c>
      <c r="C201" s="325" t="s">
        <v>47</v>
      </c>
      <c r="D201" s="325"/>
      <c r="E201" s="326">
        <v>5700000</v>
      </c>
    </row>
    <row r="202" spans="1:5" x14ac:dyDescent="0.25">
      <c r="A202" s="78"/>
      <c r="B202" s="325" t="s">
        <v>548</v>
      </c>
      <c r="C202" s="325" t="s">
        <v>48</v>
      </c>
      <c r="D202" s="325"/>
      <c r="E202" s="326">
        <v>8000000</v>
      </c>
    </row>
    <row r="203" spans="1:5" x14ac:dyDescent="0.25">
      <c r="A203" s="78"/>
      <c r="B203" s="325" t="s">
        <v>548</v>
      </c>
      <c r="C203" s="325" t="s">
        <v>49</v>
      </c>
      <c r="D203" s="325"/>
      <c r="E203" s="326">
        <v>2900000</v>
      </c>
    </row>
    <row r="204" spans="1:5" x14ac:dyDescent="0.25">
      <c r="A204" s="78"/>
      <c r="B204" s="325" t="s">
        <v>548</v>
      </c>
      <c r="C204" s="325" t="s">
        <v>46</v>
      </c>
      <c r="D204" s="325"/>
      <c r="E204" s="326">
        <v>3400000</v>
      </c>
    </row>
    <row r="205" spans="1:5" x14ac:dyDescent="0.25">
      <c r="A205" s="78"/>
      <c r="B205" s="325" t="s">
        <v>549</v>
      </c>
      <c r="C205" s="325" t="s">
        <v>469</v>
      </c>
      <c r="D205" s="325" t="s">
        <v>455</v>
      </c>
      <c r="E205" s="326">
        <v>5700000</v>
      </c>
    </row>
    <row r="206" spans="1:5" x14ac:dyDescent="0.25">
      <c r="A206" s="78"/>
      <c r="B206" s="325" t="s">
        <v>549</v>
      </c>
      <c r="C206" s="325" t="s">
        <v>523</v>
      </c>
      <c r="D206" s="325" t="s">
        <v>550</v>
      </c>
      <c r="E206" s="326">
        <v>5700000</v>
      </c>
    </row>
    <row r="207" spans="1:5" x14ac:dyDescent="0.25">
      <c r="A207" s="78"/>
      <c r="B207" s="325" t="s">
        <v>549</v>
      </c>
      <c r="C207" s="325" t="s">
        <v>525</v>
      </c>
      <c r="D207" s="325" t="s">
        <v>550</v>
      </c>
      <c r="E207" s="326">
        <v>5700000</v>
      </c>
    </row>
    <row r="208" spans="1:5" x14ac:dyDescent="0.25">
      <c r="A208" s="78"/>
      <c r="B208" s="325" t="s">
        <v>549</v>
      </c>
      <c r="C208" s="325" t="s">
        <v>454</v>
      </c>
      <c r="D208" s="325" t="s">
        <v>550</v>
      </c>
      <c r="E208" s="326">
        <v>5700000</v>
      </c>
    </row>
    <row r="209" spans="1:5" x14ac:dyDescent="0.25">
      <c r="A209" s="78"/>
      <c r="B209" s="325" t="s">
        <v>549</v>
      </c>
      <c r="C209" s="325" t="s">
        <v>526</v>
      </c>
      <c r="D209" s="325" t="s">
        <v>455</v>
      </c>
      <c r="E209" s="326">
        <v>1500000</v>
      </c>
    </row>
    <row r="210" spans="1:5" x14ac:dyDescent="0.25">
      <c r="A210" s="78"/>
      <c r="B210" s="325" t="s">
        <v>549</v>
      </c>
      <c r="C210" s="325" t="s">
        <v>527</v>
      </c>
      <c r="D210" s="325" t="s">
        <v>455</v>
      </c>
      <c r="E210" s="326">
        <v>1000000</v>
      </c>
    </row>
    <row r="211" spans="1:5" x14ac:dyDescent="0.25">
      <c r="A211" s="78"/>
      <c r="B211" s="325" t="s">
        <v>549</v>
      </c>
      <c r="C211" s="325" t="s">
        <v>459</v>
      </c>
      <c r="D211" s="325" t="s">
        <v>550</v>
      </c>
      <c r="E211" s="326">
        <v>2280000</v>
      </c>
    </row>
    <row r="212" spans="1:5" x14ac:dyDescent="0.25">
      <c r="A212" s="78"/>
      <c r="B212" s="325" t="s">
        <v>549</v>
      </c>
      <c r="C212" s="325" t="s">
        <v>502</v>
      </c>
      <c r="D212" s="325" t="s">
        <v>550</v>
      </c>
      <c r="E212" s="326">
        <v>2736000</v>
      </c>
    </row>
    <row r="213" spans="1:5" x14ac:dyDescent="0.25">
      <c r="A213" s="78"/>
      <c r="B213" s="325" t="s">
        <v>549</v>
      </c>
      <c r="C213" s="325" t="s">
        <v>461</v>
      </c>
      <c r="D213" s="325" t="s">
        <v>550</v>
      </c>
      <c r="E213" s="326">
        <v>5016000</v>
      </c>
    </row>
    <row r="214" spans="1:5" x14ac:dyDescent="0.25">
      <c r="A214" s="78"/>
      <c r="B214" s="325" t="s">
        <v>549</v>
      </c>
      <c r="C214" s="325" t="s">
        <v>528</v>
      </c>
      <c r="D214" s="325" t="s">
        <v>455</v>
      </c>
      <c r="E214" s="326">
        <v>1000000</v>
      </c>
    </row>
    <row r="215" spans="1:5" x14ac:dyDescent="0.25">
      <c r="A215" s="78"/>
      <c r="B215" s="325" t="s">
        <v>549</v>
      </c>
      <c r="C215" s="325" t="s">
        <v>529</v>
      </c>
      <c r="D215" s="325" t="s">
        <v>455</v>
      </c>
      <c r="E215" s="326">
        <v>1000000</v>
      </c>
    </row>
    <row r="216" spans="1:5" x14ac:dyDescent="0.25">
      <c r="A216" s="78"/>
      <c r="B216" s="325" t="s">
        <v>549</v>
      </c>
      <c r="C216" s="325" t="s">
        <v>530</v>
      </c>
      <c r="D216" s="325" t="s">
        <v>550</v>
      </c>
      <c r="E216" s="326">
        <v>366000</v>
      </c>
    </row>
    <row r="217" spans="1:5" x14ac:dyDescent="0.25">
      <c r="A217" s="78"/>
      <c r="B217" s="325" t="s">
        <v>549</v>
      </c>
      <c r="C217" s="325" t="s">
        <v>531</v>
      </c>
      <c r="D217" s="325" t="s">
        <v>550</v>
      </c>
      <c r="E217" s="326">
        <v>671000</v>
      </c>
    </row>
    <row r="218" spans="1:5" x14ac:dyDescent="0.25">
      <c r="A218" s="78"/>
      <c r="B218" s="325" t="s">
        <v>549</v>
      </c>
      <c r="C218" s="325" t="s">
        <v>530</v>
      </c>
      <c r="D218" s="325" t="s">
        <v>455</v>
      </c>
      <c r="E218" s="326">
        <v>366000</v>
      </c>
    </row>
    <row r="219" spans="1:5" x14ac:dyDescent="0.25">
      <c r="A219" s="78"/>
      <c r="B219" s="325" t="s">
        <v>549</v>
      </c>
      <c r="C219" s="325" t="s">
        <v>531</v>
      </c>
      <c r="D219" s="325" t="s">
        <v>455</v>
      </c>
      <c r="E219" s="326">
        <v>671000</v>
      </c>
    </row>
    <row r="220" spans="1:5" x14ac:dyDescent="0.25">
      <c r="A220" s="78"/>
      <c r="B220" s="325" t="s">
        <v>549</v>
      </c>
      <c r="C220" s="325" t="s">
        <v>504</v>
      </c>
      <c r="D220" s="325" t="s">
        <v>455</v>
      </c>
      <c r="E220" s="326">
        <v>2500000</v>
      </c>
    </row>
    <row r="221" spans="1:5" x14ac:dyDescent="0.25">
      <c r="A221" s="78"/>
      <c r="B221" s="325" t="s">
        <v>549</v>
      </c>
      <c r="C221" s="325" t="s">
        <v>506</v>
      </c>
      <c r="D221" s="325" t="s">
        <v>455</v>
      </c>
      <c r="E221" s="326">
        <v>2100000</v>
      </c>
    </row>
    <row r="222" spans="1:5" x14ac:dyDescent="0.25">
      <c r="A222" s="78"/>
      <c r="B222" s="325" t="s">
        <v>549</v>
      </c>
      <c r="C222" s="325" t="s">
        <v>462</v>
      </c>
      <c r="D222" s="325" t="s">
        <v>550</v>
      </c>
      <c r="E222" s="326">
        <v>3830058</v>
      </c>
    </row>
    <row r="223" spans="1:5" x14ac:dyDescent="0.25">
      <c r="A223" s="78"/>
      <c r="B223" s="325" t="s">
        <v>549</v>
      </c>
      <c r="C223" s="325" t="s">
        <v>462</v>
      </c>
      <c r="D223" s="325" t="s">
        <v>455</v>
      </c>
      <c r="E223" s="326">
        <v>3830058</v>
      </c>
    </row>
    <row r="224" spans="1:5" x14ac:dyDescent="0.25">
      <c r="A224" s="78"/>
      <c r="B224" s="325" t="s">
        <v>549</v>
      </c>
      <c r="C224" s="325" t="s">
        <v>532</v>
      </c>
      <c r="D224" s="325" t="s">
        <v>455</v>
      </c>
      <c r="E224" s="326">
        <v>3830058</v>
      </c>
    </row>
    <row r="225" spans="1:5" x14ac:dyDescent="0.25">
      <c r="A225" s="78"/>
      <c r="B225" s="325" t="s">
        <v>549</v>
      </c>
      <c r="C225" s="325" t="s">
        <v>533</v>
      </c>
      <c r="D225" s="325" t="s">
        <v>455</v>
      </c>
      <c r="E225" s="326">
        <v>2078334</v>
      </c>
    </row>
    <row r="226" spans="1:5" x14ac:dyDescent="0.25">
      <c r="A226" s="78"/>
      <c r="B226" s="325" t="s">
        <v>549</v>
      </c>
      <c r="C226" s="325" t="s">
        <v>534</v>
      </c>
      <c r="D226" s="325" t="s">
        <v>455</v>
      </c>
      <c r="E226" s="326">
        <v>123667</v>
      </c>
    </row>
    <row r="227" spans="1:5" x14ac:dyDescent="0.25">
      <c r="A227" s="78"/>
      <c r="B227" s="325" t="s">
        <v>551</v>
      </c>
      <c r="C227" s="325" t="s">
        <v>465</v>
      </c>
      <c r="D227" s="325" t="s">
        <v>550</v>
      </c>
      <c r="E227" s="326">
        <v>720000</v>
      </c>
    </row>
    <row r="228" spans="1:5" x14ac:dyDescent="0.25">
      <c r="A228" s="78"/>
      <c r="B228" s="325" t="s">
        <v>552</v>
      </c>
      <c r="C228" s="325" t="s">
        <v>465</v>
      </c>
      <c r="D228" s="325" t="s">
        <v>550</v>
      </c>
      <c r="E228" s="326">
        <v>1680000</v>
      </c>
    </row>
    <row r="229" spans="1:5" x14ac:dyDescent="0.25">
      <c r="A229" s="78"/>
      <c r="B229" s="325" t="s">
        <v>551</v>
      </c>
      <c r="C229" s="325" t="s">
        <v>465</v>
      </c>
      <c r="D229" s="325" t="s">
        <v>455</v>
      </c>
      <c r="E229" s="326">
        <v>720000</v>
      </c>
    </row>
    <row r="230" spans="1:5" x14ac:dyDescent="0.25">
      <c r="A230" s="78"/>
      <c r="B230" s="325" t="s">
        <v>552</v>
      </c>
      <c r="C230" s="325" t="s">
        <v>465</v>
      </c>
      <c r="D230" s="325" t="s">
        <v>455</v>
      </c>
      <c r="E230" s="326">
        <v>1680000</v>
      </c>
    </row>
    <row r="231" spans="1:5" x14ac:dyDescent="0.25">
      <c r="A231" s="78"/>
      <c r="B231" s="325" t="s">
        <v>549</v>
      </c>
      <c r="C231" s="325" t="s">
        <v>467</v>
      </c>
      <c r="D231" s="325" t="s">
        <v>553</v>
      </c>
      <c r="E231" s="326">
        <v>5000000</v>
      </c>
    </row>
    <row r="232" spans="1:5" x14ac:dyDescent="0.25">
      <c r="A232" s="78"/>
      <c r="B232" s="325" t="s">
        <v>549</v>
      </c>
      <c r="C232" s="325" t="s">
        <v>467</v>
      </c>
      <c r="D232" s="325" t="s">
        <v>554</v>
      </c>
      <c r="E232" s="326">
        <v>7500000</v>
      </c>
    </row>
    <row r="233" spans="1:5" x14ac:dyDescent="0.25">
      <c r="A233" s="78"/>
      <c r="B233" s="325" t="s">
        <v>549</v>
      </c>
      <c r="C233" s="325" t="s">
        <v>467</v>
      </c>
      <c r="D233" s="325" t="s">
        <v>555</v>
      </c>
      <c r="E233" s="326">
        <v>6000000</v>
      </c>
    </row>
    <row r="234" spans="1:5" x14ac:dyDescent="0.25">
      <c r="A234" s="78"/>
      <c r="B234" s="325" t="s">
        <v>549</v>
      </c>
      <c r="C234" s="325" t="s">
        <v>467</v>
      </c>
      <c r="D234" s="325" t="s">
        <v>455</v>
      </c>
      <c r="E234" s="326">
        <v>7500000</v>
      </c>
    </row>
    <row r="235" spans="1:5" x14ac:dyDescent="0.25">
      <c r="A235" s="78"/>
      <c r="B235" s="325" t="s">
        <v>549</v>
      </c>
      <c r="C235" s="325" t="s">
        <v>471</v>
      </c>
      <c r="D235" s="325" t="s">
        <v>455</v>
      </c>
      <c r="E235" s="326">
        <v>5700000</v>
      </c>
    </row>
    <row r="236" spans="1:5" x14ac:dyDescent="0.25">
      <c r="A236" s="78"/>
      <c r="B236" s="325" t="s">
        <v>549</v>
      </c>
      <c r="C236" s="325" t="s">
        <v>541</v>
      </c>
      <c r="D236" s="325" t="s">
        <v>455</v>
      </c>
      <c r="E236" s="326">
        <v>2280000</v>
      </c>
    </row>
    <row r="237" spans="1:5" x14ac:dyDescent="0.25">
      <c r="A237" s="78"/>
      <c r="B237" s="325" t="s">
        <v>548</v>
      </c>
      <c r="C237" s="325" t="s">
        <v>510</v>
      </c>
      <c r="D237" s="325" t="s">
        <v>556</v>
      </c>
      <c r="E237" s="326">
        <v>6850000</v>
      </c>
    </row>
    <row r="238" spans="1:5" x14ac:dyDescent="0.25">
      <c r="A238" s="78"/>
      <c r="B238" s="325" t="s">
        <v>548</v>
      </c>
      <c r="C238" s="325" t="s">
        <v>473</v>
      </c>
      <c r="D238" s="325" t="s">
        <v>556</v>
      </c>
      <c r="E238" s="326">
        <v>1140000</v>
      </c>
    </row>
    <row r="239" spans="1:5" x14ac:dyDescent="0.25">
      <c r="A239" s="78"/>
      <c r="B239" s="325" t="s">
        <v>548</v>
      </c>
      <c r="C239" s="325" t="s">
        <v>474</v>
      </c>
      <c r="D239" s="325" t="s">
        <v>556</v>
      </c>
      <c r="E239" s="326">
        <v>1140000</v>
      </c>
    </row>
    <row r="240" spans="1:5" x14ac:dyDescent="0.25">
      <c r="A240" s="78"/>
      <c r="B240" s="325" t="s">
        <v>551</v>
      </c>
      <c r="C240" s="325" t="s">
        <v>475</v>
      </c>
      <c r="D240" s="325" t="s">
        <v>455</v>
      </c>
      <c r="E240" s="326">
        <v>10000000</v>
      </c>
    </row>
    <row r="241" spans="1:5" x14ac:dyDescent="0.25">
      <c r="A241" s="78"/>
      <c r="B241" s="325" t="s">
        <v>552</v>
      </c>
      <c r="C241" s="325" t="s">
        <v>475</v>
      </c>
      <c r="D241" s="325" t="s">
        <v>455</v>
      </c>
      <c r="E241" s="326">
        <v>10000000</v>
      </c>
    </row>
    <row r="242" spans="1:5" x14ac:dyDescent="0.25">
      <c r="A242" s="78"/>
      <c r="B242" s="325" t="s">
        <v>549</v>
      </c>
      <c r="C242" s="325" t="s">
        <v>476</v>
      </c>
      <c r="D242" s="325" t="s">
        <v>455</v>
      </c>
      <c r="E242" s="326">
        <v>5000000</v>
      </c>
    </row>
    <row r="243" spans="1:5" x14ac:dyDescent="0.25">
      <c r="A243" s="78"/>
      <c r="B243" s="325" t="s">
        <v>557</v>
      </c>
      <c r="C243" s="325" t="s">
        <v>26</v>
      </c>
      <c r="D243" s="325" t="s">
        <v>455</v>
      </c>
      <c r="E243" s="326">
        <v>1300000</v>
      </c>
    </row>
    <row r="244" spans="1:5" x14ac:dyDescent="0.25">
      <c r="A244" s="78"/>
      <c r="B244" s="325" t="s">
        <v>558</v>
      </c>
      <c r="C244" s="325" t="s">
        <v>26</v>
      </c>
      <c r="D244" s="325" t="s">
        <v>455</v>
      </c>
      <c r="E244" s="326">
        <v>900000</v>
      </c>
    </row>
    <row r="245" spans="1:5" x14ac:dyDescent="0.25">
      <c r="A245" s="78"/>
      <c r="B245" s="325" t="s">
        <v>558</v>
      </c>
      <c r="C245" s="325" t="s">
        <v>481</v>
      </c>
      <c r="D245" s="325" t="s">
        <v>455</v>
      </c>
      <c r="E245" s="326">
        <v>2700000</v>
      </c>
    </row>
    <row r="246" spans="1:5" x14ac:dyDescent="0.25">
      <c r="A246" s="78"/>
      <c r="B246" s="325" t="s">
        <v>558</v>
      </c>
      <c r="C246" s="325" t="s">
        <v>457</v>
      </c>
      <c r="D246" s="325" t="s">
        <v>455</v>
      </c>
      <c r="E246" s="326">
        <v>1700000</v>
      </c>
    </row>
    <row r="247" spans="1:5" x14ac:dyDescent="0.25">
      <c r="A247" s="78"/>
      <c r="B247" s="325" t="s">
        <v>558</v>
      </c>
      <c r="C247" s="325" t="s">
        <v>51</v>
      </c>
      <c r="D247" s="325" t="s">
        <v>455</v>
      </c>
      <c r="E247" s="326">
        <v>1200000</v>
      </c>
    </row>
    <row r="248" spans="1:5" x14ac:dyDescent="0.25">
      <c r="A248" s="78"/>
      <c r="B248" s="325" t="s">
        <v>558</v>
      </c>
      <c r="C248" s="325" t="s">
        <v>482</v>
      </c>
      <c r="D248" s="325" t="s">
        <v>455</v>
      </c>
      <c r="E248" s="326">
        <v>5500000</v>
      </c>
    </row>
    <row r="249" spans="1:5" x14ac:dyDescent="0.25">
      <c r="A249" s="78"/>
      <c r="B249" s="325" t="s">
        <v>559</v>
      </c>
      <c r="C249" s="325" t="s">
        <v>26</v>
      </c>
      <c r="D249" s="325" t="s">
        <v>455</v>
      </c>
      <c r="E249" s="326">
        <v>1000000</v>
      </c>
    </row>
    <row r="250" spans="1:5" x14ac:dyDescent="0.25">
      <c r="A250" s="78"/>
      <c r="B250" s="325" t="s">
        <v>559</v>
      </c>
      <c r="C250" s="325" t="s">
        <v>481</v>
      </c>
      <c r="D250" s="325" t="s">
        <v>455</v>
      </c>
      <c r="E250" s="326">
        <v>800000</v>
      </c>
    </row>
    <row r="251" spans="1:5" x14ac:dyDescent="0.25">
      <c r="A251" s="78"/>
      <c r="B251" s="325" t="s">
        <v>552</v>
      </c>
      <c r="C251" s="325" t="s">
        <v>457</v>
      </c>
      <c r="D251" s="325" t="s">
        <v>455</v>
      </c>
      <c r="E251" s="326">
        <v>2500000</v>
      </c>
    </row>
    <row r="252" spans="1:5" x14ac:dyDescent="0.25">
      <c r="A252" s="78"/>
      <c r="B252" s="325" t="s">
        <v>551</v>
      </c>
      <c r="C252" s="325" t="s">
        <v>484</v>
      </c>
      <c r="D252" s="325" t="s">
        <v>455</v>
      </c>
      <c r="E252" s="326">
        <v>5700000</v>
      </c>
    </row>
    <row r="253" spans="1:5" x14ac:dyDescent="0.25">
      <c r="A253" s="78"/>
      <c r="B253" s="325" t="s">
        <v>551</v>
      </c>
      <c r="C253" s="325" t="s">
        <v>485</v>
      </c>
      <c r="D253" s="325" t="s">
        <v>455</v>
      </c>
      <c r="E253" s="326">
        <v>1710000</v>
      </c>
    </row>
    <row r="254" spans="1:5" x14ac:dyDescent="0.25">
      <c r="A254" s="78"/>
      <c r="B254" s="325" t="s">
        <v>558</v>
      </c>
      <c r="C254" s="325" t="s">
        <v>514</v>
      </c>
      <c r="D254" s="325" t="s">
        <v>455</v>
      </c>
      <c r="E254" s="326">
        <v>340000</v>
      </c>
    </row>
    <row r="255" spans="1:5" x14ac:dyDescent="0.25">
      <c r="A255" s="78"/>
      <c r="B255" s="325" t="s">
        <v>559</v>
      </c>
      <c r="C255" s="325" t="s">
        <v>514</v>
      </c>
      <c r="D255" s="325" t="s">
        <v>455</v>
      </c>
      <c r="E255" s="326">
        <v>340000</v>
      </c>
    </row>
    <row r="256" spans="1:5" x14ac:dyDescent="0.25">
      <c r="A256" s="78"/>
      <c r="B256" s="325" t="s">
        <v>558</v>
      </c>
      <c r="C256" s="325" t="s">
        <v>515</v>
      </c>
      <c r="D256" s="325" t="s">
        <v>455</v>
      </c>
      <c r="E256" s="326">
        <v>900000</v>
      </c>
    </row>
    <row r="257" spans="1:5" x14ac:dyDescent="0.25">
      <c r="A257" s="78"/>
      <c r="B257" s="325" t="s">
        <v>559</v>
      </c>
      <c r="C257" s="325" t="s">
        <v>515</v>
      </c>
      <c r="D257" s="325" t="s">
        <v>455</v>
      </c>
      <c r="E257" s="326">
        <v>900000</v>
      </c>
    </row>
    <row r="258" spans="1:5" x14ac:dyDescent="0.25">
      <c r="A258" s="78"/>
      <c r="B258" s="325" t="s">
        <v>558</v>
      </c>
      <c r="C258" s="325" t="s">
        <v>516</v>
      </c>
      <c r="D258" s="325" t="s">
        <v>455</v>
      </c>
      <c r="E258" s="326">
        <v>400000</v>
      </c>
    </row>
    <row r="259" spans="1:5" x14ac:dyDescent="0.25">
      <c r="A259" s="78"/>
      <c r="B259" s="325" t="s">
        <v>559</v>
      </c>
      <c r="C259" s="325" t="s">
        <v>516</v>
      </c>
      <c r="D259" s="325" t="s">
        <v>455</v>
      </c>
      <c r="E259" s="326">
        <v>400000</v>
      </c>
    </row>
    <row r="260" spans="1:5" x14ac:dyDescent="0.25">
      <c r="A260" s="78"/>
      <c r="B260" s="325" t="s">
        <v>552</v>
      </c>
      <c r="C260" s="325" t="s">
        <v>515</v>
      </c>
      <c r="D260" s="325" t="s">
        <v>455</v>
      </c>
      <c r="E260" s="326">
        <v>900000</v>
      </c>
    </row>
    <row r="261" spans="1:5" x14ac:dyDescent="0.25">
      <c r="A261" s="78"/>
      <c r="B261" s="325" t="s">
        <v>558</v>
      </c>
      <c r="C261" s="325" t="s">
        <v>517</v>
      </c>
      <c r="D261" s="325" t="s">
        <v>455</v>
      </c>
      <c r="E261" s="326">
        <v>1000000</v>
      </c>
    </row>
    <row r="262" spans="1:5" x14ac:dyDescent="0.25">
      <c r="A262" s="78"/>
      <c r="B262" s="325" t="s">
        <v>558</v>
      </c>
      <c r="C262" s="325" t="s">
        <v>518</v>
      </c>
      <c r="D262" s="325" t="s">
        <v>455</v>
      </c>
      <c r="E262" s="326">
        <v>360000</v>
      </c>
    </row>
    <row r="263" spans="1:5" x14ac:dyDescent="0.25">
      <c r="A263" s="78"/>
      <c r="B263" s="325" t="s">
        <v>551</v>
      </c>
      <c r="C263" s="325" t="s">
        <v>546</v>
      </c>
      <c r="D263" s="325" t="s">
        <v>550</v>
      </c>
      <c r="E263" s="326">
        <v>439200</v>
      </c>
    </row>
    <row r="264" spans="1:5" x14ac:dyDescent="0.25">
      <c r="A264" s="78"/>
      <c r="B264" s="325" t="s">
        <v>552</v>
      </c>
      <c r="C264" s="325" t="s">
        <v>546</v>
      </c>
      <c r="D264" s="325" t="s">
        <v>550</v>
      </c>
      <c r="E264" s="326">
        <v>1024800</v>
      </c>
    </row>
    <row r="265" spans="1:5" x14ac:dyDescent="0.25">
      <c r="A265" s="78"/>
      <c r="B265" s="325" t="s">
        <v>551</v>
      </c>
      <c r="C265" s="325" t="s">
        <v>547</v>
      </c>
      <c r="D265" s="325" t="s">
        <v>550</v>
      </c>
      <c r="E265" s="326">
        <v>1159200</v>
      </c>
    </row>
    <row r="266" spans="1:5" x14ac:dyDescent="0.25">
      <c r="A266" s="78"/>
      <c r="B266" s="325" t="s">
        <v>552</v>
      </c>
      <c r="C266" s="325" t="s">
        <v>547</v>
      </c>
      <c r="D266" s="325" t="s">
        <v>550</v>
      </c>
      <c r="E266" s="326">
        <v>2704800</v>
      </c>
    </row>
    <row r="267" spans="1:5" x14ac:dyDescent="0.25">
      <c r="A267" s="78"/>
      <c r="B267" s="325" t="s">
        <v>549</v>
      </c>
      <c r="C267" s="325" t="s">
        <v>519</v>
      </c>
      <c r="D267" s="325" t="s">
        <v>455</v>
      </c>
      <c r="E267" s="326">
        <v>22000</v>
      </c>
    </row>
    <row r="268" spans="1:5" x14ac:dyDescent="0.25">
      <c r="A268" s="78"/>
      <c r="B268" s="325" t="s">
        <v>549</v>
      </c>
      <c r="C268" s="325" t="s">
        <v>520</v>
      </c>
      <c r="D268" s="325" t="s">
        <v>455</v>
      </c>
      <c r="E268" s="326">
        <v>31500</v>
      </c>
    </row>
    <row r="269" spans="1:5" x14ac:dyDescent="0.25">
      <c r="A269" s="78"/>
      <c r="B269" s="327" t="s">
        <v>560</v>
      </c>
      <c r="C269" s="327" t="s">
        <v>42</v>
      </c>
      <c r="D269" s="327" t="s">
        <v>556</v>
      </c>
      <c r="E269" s="328">
        <v>28500</v>
      </c>
    </row>
    <row r="270" spans="1:5" x14ac:dyDescent="0.25">
      <c r="A270" s="78"/>
      <c r="B270" s="327" t="s">
        <v>560</v>
      </c>
      <c r="C270" s="327" t="s">
        <v>43</v>
      </c>
      <c r="D270" s="327" t="s">
        <v>556</v>
      </c>
      <c r="E270" s="328">
        <v>68500</v>
      </c>
    </row>
    <row r="271" spans="1:5" x14ac:dyDescent="0.25">
      <c r="A271" s="78"/>
      <c r="B271" s="327" t="s">
        <v>560</v>
      </c>
      <c r="C271" s="327" t="s">
        <v>217</v>
      </c>
      <c r="D271" s="327" t="s">
        <v>556</v>
      </c>
      <c r="E271" s="328">
        <v>57000</v>
      </c>
    </row>
    <row r="272" spans="1:5" x14ac:dyDescent="0.25">
      <c r="A272" s="78"/>
      <c r="B272" s="327" t="s">
        <v>560</v>
      </c>
      <c r="C272" s="327" t="s">
        <v>289</v>
      </c>
      <c r="D272" s="327" t="s">
        <v>556</v>
      </c>
      <c r="E272" s="328">
        <v>20100</v>
      </c>
    </row>
    <row r="273" spans="1:5" x14ac:dyDescent="0.25">
      <c r="A273" s="78"/>
      <c r="B273" s="327" t="s">
        <v>560</v>
      </c>
      <c r="C273" s="327" t="s">
        <v>47</v>
      </c>
      <c r="D273" s="327" t="s">
        <v>556</v>
      </c>
      <c r="E273" s="328">
        <v>8000000</v>
      </c>
    </row>
    <row r="274" spans="1:5" x14ac:dyDescent="0.25">
      <c r="A274" s="78"/>
      <c r="B274" s="327" t="s">
        <v>560</v>
      </c>
      <c r="C274" s="327" t="s">
        <v>48</v>
      </c>
      <c r="D274" s="327" t="s">
        <v>556</v>
      </c>
      <c r="E274" s="328">
        <v>9200000</v>
      </c>
    </row>
    <row r="275" spans="1:5" x14ac:dyDescent="0.25">
      <c r="A275" s="78"/>
      <c r="B275" s="327" t="s">
        <v>560</v>
      </c>
      <c r="C275" s="327" t="s">
        <v>49</v>
      </c>
      <c r="D275" s="327" t="s">
        <v>556</v>
      </c>
      <c r="E275" s="328">
        <v>2900000</v>
      </c>
    </row>
    <row r="276" spans="1:5" x14ac:dyDescent="0.25">
      <c r="A276" s="78"/>
      <c r="B276" s="327" t="s">
        <v>560</v>
      </c>
      <c r="C276" s="327" t="s">
        <v>46</v>
      </c>
      <c r="D276" s="327" t="s">
        <v>556</v>
      </c>
      <c r="E276" s="328">
        <v>2900000</v>
      </c>
    </row>
    <row r="277" spans="1:5" x14ac:dyDescent="0.25">
      <c r="A277" s="78"/>
      <c r="B277" s="327" t="s">
        <v>561</v>
      </c>
      <c r="C277" s="327" t="s">
        <v>469</v>
      </c>
      <c r="D277" s="327" t="s">
        <v>455</v>
      </c>
      <c r="E277" s="328">
        <v>5700000</v>
      </c>
    </row>
    <row r="278" spans="1:5" x14ac:dyDescent="0.25">
      <c r="A278" s="78"/>
      <c r="B278" s="327" t="s">
        <v>561</v>
      </c>
      <c r="C278" s="327" t="s">
        <v>523</v>
      </c>
      <c r="D278" s="327" t="s">
        <v>562</v>
      </c>
      <c r="E278" s="328">
        <v>5700000</v>
      </c>
    </row>
    <row r="279" spans="1:5" x14ac:dyDescent="0.25">
      <c r="A279" s="78"/>
      <c r="B279" s="327" t="s">
        <v>561</v>
      </c>
      <c r="C279" s="327" t="s">
        <v>525</v>
      </c>
      <c r="D279" s="327" t="s">
        <v>562</v>
      </c>
      <c r="E279" s="328">
        <v>5700000</v>
      </c>
    </row>
    <row r="280" spans="1:5" x14ac:dyDescent="0.25">
      <c r="A280" s="78"/>
      <c r="B280" s="327" t="s">
        <v>561</v>
      </c>
      <c r="C280" s="327" t="s">
        <v>454</v>
      </c>
      <c r="D280" s="327" t="s">
        <v>562</v>
      </c>
      <c r="E280" s="328">
        <v>5700000</v>
      </c>
    </row>
    <row r="281" spans="1:5" x14ac:dyDescent="0.25">
      <c r="A281" s="78"/>
      <c r="B281" s="327" t="s">
        <v>561</v>
      </c>
      <c r="C281" s="327" t="s">
        <v>526</v>
      </c>
      <c r="D281" s="327" t="s">
        <v>455</v>
      </c>
      <c r="E281" s="328">
        <v>1500000</v>
      </c>
    </row>
    <row r="282" spans="1:5" x14ac:dyDescent="0.25">
      <c r="A282" s="78"/>
      <c r="B282" s="327" t="s">
        <v>561</v>
      </c>
      <c r="C282" s="327" t="s">
        <v>527</v>
      </c>
      <c r="D282" s="327" t="s">
        <v>455</v>
      </c>
      <c r="E282" s="328">
        <v>1000000</v>
      </c>
    </row>
    <row r="283" spans="1:5" x14ac:dyDescent="0.25">
      <c r="A283" s="78"/>
      <c r="B283" s="327" t="s">
        <v>561</v>
      </c>
      <c r="C283" s="327" t="s">
        <v>459</v>
      </c>
      <c r="D283" s="327" t="s">
        <v>562</v>
      </c>
      <c r="E283" s="328">
        <v>2280000</v>
      </c>
    </row>
    <row r="284" spans="1:5" x14ac:dyDescent="0.25">
      <c r="A284" s="78"/>
      <c r="B284" s="327" t="s">
        <v>561</v>
      </c>
      <c r="C284" s="327" t="s">
        <v>502</v>
      </c>
      <c r="D284" s="327" t="s">
        <v>562</v>
      </c>
      <c r="E284" s="328">
        <v>2280000</v>
      </c>
    </row>
    <row r="285" spans="1:5" x14ac:dyDescent="0.25">
      <c r="A285" s="78"/>
      <c r="B285" s="327" t="s">
        <v>561</v>
      </c>
      <c r="C285" s="327" t="s">
        <v>461</v>
      </c>
      <c r="D285" s="327" t="s">
        <v>562</v>
      </c>
      <c r="E285" s="328">
        <v>5016000</v>
      </c>
    </row>
    <row r="286" spans="1:5" x14ac:dyDescent="0.25">
      <c r="A286" s="78"/>
      <c r="B286" s="327" t="s">
        <v>561</v>
      </c>
      <c r="C286" s="327" t="s">
        <v>528</v>
      </c>
      <c r="D286" s="327" t="s">
        <v>455</v>
      </c>
      <c r="E286" s="328">
        <v>1000000</v>
      </c>
    </row>
    <row r="287" spans="1:5" x14ac:dyDescent="0.25">
      <c r="A287" s="78"/>
      <c r="B287" s="327" t="s">
        <v>561</v>
      </c>
      <c r="C287" s="327" t="s">
        <v>529</v>
      </c>
      <c r="D287" s="327" t="s">
        <v>455</v>
      </c>
      <c r="E287" s="328">
        <v>1000000</v>
      </c>
    </row>
    <row r="288" spans="1:5" x14ac:dyDescent="0.25">
      <c r="A288" s="78"/>
      <c r="B288" s="327" t="s">
        <v>561</v>
      </c>
      <c r="C288" s="327" t="s">
        <v>530</v>
      </c>
      <c r="D288" s="327" t="s">
        <v>562</v>
      </c>
      <c r="E288" s="328">
        <v>432000</v>
      </c>
    </row>
    <row r="289" spans="1:5" x14ac:dyDescent="0.25">
      <c r="A289" s="78"/>
      <c r="B289" s="327" t="s">
        <v>561</v>
      </c>
      <c r="C289" s="327" t="s">
        <v>531</v>
      </c>
      <c r="D289" s="327" t="s">
        <v>562</v>
      </c>
      <c r="E289" s="328">
        <v>792000</v>
      </c>
    </row>
    <row r="290" spans="1:5" x14ac:dyDescent="0.25">
      <c r="A290" s="78"/>
      <c r="B290" s="327" t="s">
        <v>561</v>
      </c>
      <c r="C290" s="327" t="s">
        <v>530</v>
      </c>
      <c r="D290" s="327" t="s">
        <v>455</v>
      </c>
      <c r="E290" s="328">
        <v>432000</v>
      </c>
    </row>
    <row r="291" spans="1:5" x14ac:dyDescent="0.25">
      <c r="A291" s="78"/>
      <c r="B291" s="327" t="s">
        <v>561</v>
      </c>
      <c r="C291" s="327" t="s">
        <v>531</v>
      </c>
      <c r="D291" s="327" t="s">
        <v>455</v>
      </c>
      <c r="E291" s="328">
        <v>792000</v>
      </c>
    </row>
    <row r="292" spans="1:5" x14ac:dyDescent="0.25">
      <c r="A292" s="78"/>
      <c r="B292" s="327" t="s">
        <v>561</v>
      </c>
      <c r="C292" s="327" t="s">
        <v>462</v>
      </c>
      <c r="D292" s="327" t="s">
        <v>562</v>
      </c>
      <c r="E292" s="328">
        <v>5253804</v>
      </c>
    </row>
    <row r="293" spans="1:5" x14ac:dyDescent="0.25">
      <c r="A293" s="78"/>
      <c r="B293" s="327" t="s">
        <v>561</v>
      </c>
      <c r="C293" s="327" t="s">
        <v>462</v>
      </c>
      <c r="D293" s="327" t="s">
        <v>455</v>
      </c>
      <c r="E293" s="328">
        <v>5253804</v>
      </c>
    </row>
    <row r="294" spans="1:5" x14ac:dyDescent="0.25">
      <c r="A294" s="78"/>
      <c r="B294" s="327" t="s">
        <v>561</v>
      </c>
      <c r="C294" s="327" t="s">
        <v>532</v>
      </c>
      <c r="D294" s="327" t="s">
        <v>455</v>
      </c>
      <c r="E294" s="328">
        <v>2317734</v>
      </c>
    </row>
    <row r="295" spans="1:5" x14ac:dyDescent="0.25">
      <c r="A295" s="78"/>
      <c r="B295" s="327" t="s">
        <v>563</v>
      </c>
      <c r="C295" s="327" t="s">
        <v>465</v>
      </c>
      <c r="D295" s="327" t="s">
        <v>562</v>
      </c>
      <c r="E295" s="328">
        <v>720000</v>
      </c>
    </row>
    <row r="296" spans="1:5" x14ac:dyDescent="0.25">
      <c r="A296" s="78"/>
      <c r="B296" s="327" t="s">
        <v>564</v>
      </c>
      <c r="C296" s="327" t="s">
        <v>465</v>
      </c>
      <c r="D296" s="327" t="s">
        <v>562</v>
      </c>
      <c r="E296" s="328">
        <v>1680000</v>
      </c>
    </row>
    <row r="297" spans="1:5" x14ac:dyDescent="0.25">
      <c r="A297" s="78"/>
      <c r="B297" s="327" t="s">
        <v>563</v>
      </c>
      <c r="C297" s="327" t="s">
        <v>465</v>
      </c>
      <c r="D297" s="327" t="s">
        <v>455</v>
      </c>
      <c r="E297" s="328">
        <v>720000</v>
      </c>
    </row>
    <row r="298" spans="1:5" x14ac:dyDescent="0.25">
      <c r="A298" s="78"/>
      <c r="B298" s="327" t="s">
        <v>564</v>
      </c>
      <c r="C298" s="327" t="s">
        <v>465</v>
      </c>
      <c r="D298" s="327" t="s">
        <v>455</v>
      </c>
      <c r="E298" s="328">
        <v>1680000</v>
      </c>
    </row>
    <row r="299" spans="1:5" x14ac:dyDescent="0.25">
      <c r="A299" s="78"/>
      <c r="B299" s="327" t="s">
        <v>561</v>
      </c>
      <c r="C299" s="327" t="s">
        <v>467</v>
      </c>
      <c r="D299" s="327" t="s">
        <v>565</v>
      </c>
      <c r="E299" s="328">
        <v>8000000</v>
      </c>
    </row>
    <row r="300" spans="1:5" x14ac:dyDescent="0.25">
      <c r="A300" s="78"/>
      <c r="B300" s="327" t="s">
        <v>561</v>
      </c>
      <c r="C300" s="327" t="s">
        <v>467</v>
      </c>
      <c r="D300" s="327" t="s">
        <v>455</v>
      </c>
      <c r="E300" s="328">
        <v>8000000</v>
      </c>
    </row>
    <row r="301" spans="1:5" x14ac:dyDescent="0.25">
      <c r="A301" s="78"/>
      <c r="B301" s="327" t="s">
        <v>561</v>
      </c>
      <c r="C301" s="327" t="s">
        <v>471</v>
      </c>
      <c r="D301" s="327" t="s">
        <v>455</v>
      </c>
      <c r="E301" s="328">
        <v>5700000</v>
      </c>
    </row>
    <row r="302" spans="1:5" x14ac:dyDescent="0.25">
      <c r="A302" s="78"/>
      <c r="B302" s="327" t="s">
        <v>561</v>
      </c>
      <c r="C302" s="327" t="s">
        <v>541</v>
      </c>
      <c r="D302" s="327" t="s">
        <v>455</v>
      </c>
      <c r="E302" s="328">
        <v>2280000</v>
      </c>
    </row>
    <row r="303" spans="1:5" x14ac:dyDescent="0.25">
      <c r="A303" s="78"/>
      <c r="B303" s="327" t="s">
        <v>560</v>
      </c>
      <c r="C303" s="327" t="s">
        <v>510</v>
      </c>
      <c r="D303" s="327" t="s">
        <v>556</v>
      </c>
      <c r="E303" s="328">
        <v>6850000</v>
      </c>
    </row>
    <row r="304" spans="1:5" x14ac:dyDescent="0.25">
      <c r="A304" s="78"/>
      <c r="B304" s="327" t="s">
        <v>560</v>
      </c>
      <c r="C304" s="327" t="s">
        <v>473</v>
      </c>
      <c r="D304" s="327" t="s">
        <v>556</v>
      </c>
      <c r="E304" s="328">
        <v>1140000</v>
      </c>
    </row>
    <row r="305" spans="1:5" x14ac:dyDescent="0.25">
      <c r="A305" s="78"/>
      <c r="B305" s="327" t="s">
        <v>560</v>
      </c>
      <c r="C305" s="327" t="s">
        <v>474</v>
      </c>
      <c r="D305" s="327" t="s">
        <v>556</v>
      </c>
      <c r="E305" s="328">
        <v>1140000</v>
      </c>
    </row>
    <row r="306" spans="1:5" x14ac:dyDescent="0.25">
      <c r="A306" s="78"/>
      <c r="B306" s="327" t="s">
        <v>563</v>
      </c>
      <c r="C306" s="327" t="s">
        <v>475</v>
      </c>
      <c r="D306" s="327" t="s">
        <v>455</v>
      </c>
      <c r="E306" s="328">
        <v>10000000</v>
      </c>
    </row>
    <row r="307" spans="1:5" x14ac:dyDescent="0.25">
      <c r="A307" s="78"/>
      <c r="B307" s="327" t="s">
        <v>561</v>
      </c>
      <c r="C307" s="327" t="s">
        <v>476</v>
      </c>
      <c r="D307" s="327" t="s">
        <v>455</v>
      </c>
      <c r="E307" s="328">
        <v>5000000</v>
      </c>
    </row>
    <row r="308" spans="1:5" x14ac:dyDescent="0.25">
      <c r="A308" s="78"/>
      <c r="B308" s="327" t="s">
        <v>566</v>
      </c>
      <c r="C308" s="327" t="s">
        <v>26</v>
      </c>
      <c r="D308" s="327" t="s">
        <v>455</v>
      </c>
      <c r="E308" s="328">
        <v>1300000</v>
      </c>
    </row>
    <row r="309" spans="1:5" x14ac:dyDescent="0.25">
      <c r="A309" s="78"/>
      <c r="B309" s="327" t="s">
        <v>567</v>
      </c>
      <c r="C309" s="327" t="s">
        <v>26</v>
      </c>
      <c r="D309" s="327" t="s">
        <v>455</v>
      </c>
      <c r="E309" s="328">
        <v>1100000</v>
      </c>
    </row>
    <row r="310" spans="1:5" x14ac:dyDescent="0.25">
      <c r="A310" s="78"/>
      <c r="B310" s="327" t="s">
        <v>567</v>
      </c>
      <c r="C310" s="327" t="s">
        <v>481</v>
      </c>
      <c r="D310" s="327" t="s">
        <v>455</v>
      </c>
      <c r="E310" s="328">
        <v>1700000</v>
      </c>
    </row>
    <row r="311" spans="1:5" x14ac:dyDescent="0.25">
      <c r="A311" s="78"/>
      <c r="B311" s="327" t="s">
        <v>567</v>
      </c>
      <c r="C311" s="327" t="s">
        <v>457</v>
      </c>
      <c r="D311" s="327" t="s">
        <v>455</v>
      </c>
      <c r="E311" s="328">
        <v>2500000</v>
      </c>
    </row>
    <row r="312" spans="1:5" x14ac:dyDescent="0.25">
      <c r="A312" s="78"/>
      <c r="B312" s="327" t="s">
        <v>567</v>
      </c>
      <c r="C312" s="327" t="s">
        <v>51</v>
      </c>
      <c r="D312" s="327" t="s">
        <v>455</v>
      </c>
      <c r="E312" s="328">
        <v>1800000</v>
      </c>
    </row>
    <row r="313" spans="1:5" x14ac:dyDescent="0.25">
      <c r="A313" s="78"/>
      <c r="B313" s="327" t="s">
        <v>567</v>
      </c>
      <c r="C313" s="327" t="s">
        <v>482</v>
      </c>
      <c r="D313" s="327" t="s">
        <v>455</v>
      </c>
      <c r="E313" s="328">
        <v>6400000</v>
      </c>
    </row>
    <row r="314" spans="1:5" x14ac:dyDescent="0.25">
      <c r="A314" s="78"/>
      <c r="B314" s="327" t="s">
        <v>568</v>
      </c>
      <c r="C314" s="327" t="s">
        <v>26</v>
      </c>
      <c r="D314" s="327" t="s">
        <v>455</v>
      </c>
      <c r="E314" s="328">
        <v>1000000</v>
      </c>
    </row>
    <row r="315" spans="1:5" x14ac:dyDescent="0.25">
      <c r="A315" s="78"/>
      <c r="B315" s="327" t="s">
        <v>568</v>
      </c>
      <c r="C315" s="327" t="s">
        <v>481</v>
      </c>
      <c r="D315" s="327" t="s">
        <v>455</v>
      </c>
      <c r="E315" s="328">
        <v>800000</v>
      </c>
    </row>
    <row r="316" spans="1:5" x14ac:dyDescent="0.25">
      <c r="A316" s="78"/>
      <c r="B316" s="327" t="s">
        <v>564</v>
      </c>
      <c r="C316" s="327" t="s">
        <v>457</v>
      </c>
      <c r="D316" s="327" t="s">
        <v>455</v>
      </c>
      <c r="E316" s="328">
        <v>7000000</v>
      </c>
    </row>
    <row r="317" spans="1:5" x14ac:dyDescent="0.25">
      <c r="A317" s="78"/>
      <c r="B317" s="327" t="s">
        <v>563</v>
      </c>
      <c r="C317" s="327" t="s">
        <v>484</v>
      </c>
      <c r="D317" s="327" t="s">
        <v>455</v>
      </c>
      <c r="E317" s="328">
        <v>7000000</v>
      </c>
    </row>
    <row r="318" spans="1:5" x14ac:dyDescent="0.25">
      <c r="A318" s="78"/>
      <c r="B318" s="327" t="s">
        <v>563</v>
      </c>
      <c r="C318" s="327" t="s">
        <v>485</v>
      </c>
      <c r="D318" s="327" t="s">
        <v>455</v>
      </c>
      <c r="E318" s="328">
        <v>2100000</v>
      </c>
    </row>
    <row r="319" spans="1:5" x14ac:dyDescent="0.25">
      <c r="A319" s="78"/>
      <c r="B319" s="327" t="s">
        <v>567</v>
      </c>
      <c r="C319" s="327" t="s">
        <v>514</v>
      </c>
      <c r="D319" s="327" t="s">
        <v>455</v>
      </c>
      <c r="E319" s="328">
        <v>340000</v>
      </c>
    </row>
    <row r="320" spans="1:5" x14ac:dyDescent="0.25">
      <c r="A320" s="78"/>
      <c r="B320" s="327" t="s">
        <v>568</v>
      </c>
      <c r="C320" s="327" t="s">
        <v>514</v>
      </c>
      <c r="D320" s="327" t="s">
        <v>455</v>
      </c>
      <c r="E320" s="328">
        <v>340000</v>
      </c>
    </row>
    <row r="321" spans="1:5" x14ac:dyDescent="0.25">
      <c r="A321" s="78"/>
      <c r="B321" s="327" t="s">
        <v>569</v>
      </c>
      <c r="C321" s="327" t="s">
        <v>515</v>
      </c>
      <c r="D321" s="327" t="s">
        <v>455</v>
      </c>
      <c r="E321" s="328">
        <v>900000</v>
      </c>
    </row>
    <row r="322" spans="1:5" x14ac:dyDescent="0.25">
      <c r="A322" s="78"/>
      <c r="B322" s="327" t="s">
        <v>568</v>
      </c>
      <c r="C322" s="327" t="s">
        <v>515</v>
      </c>
      <c r="D322" s="327" t="s">
        <v>455</v>
      </c>
      <c r="E322" s="328">
        <v>900000</v>
      </c>
    </row>
    <row r="323" spans="1:5" x14ac:dyDescent="0.25">
      <c r="A323" s="78"/>
      <c r="B323" s="327" t="s">
        <v>569</v>
      </c>
      <c r="C323" s="327" t="s">
        <v>516</v>
      </c>
      <c r="D323" s="327" t="s">
        <v>455</v>
      </c>
      <c r="E323" s="328">
        <v>400000</v>
      </c>
    </row>
    <row r="324" spans="1:5" x14ac:dyDescent="0.25">
      <c r="A324" s="78"/>
      <c r="B324" s="327" t="s">
        <v>568</v>
      </c>
      <c r="C324" s="327" t="s">
        <v>516</v>
      </c>
      <c r="D324" s="327" t="s">
        <v>455</v>
      </c>
      <c r="E324" s="328">
        <v>400000</v>
      </c>
    </row>
    <row r="325" spans="1:5" x14ac:dyDescent="0.25">
      <c r="A325" s="78"/>
      <c r="B325" s="327" t="s">
        <v>564</v>
      </c>
      <c r="C325" s="327" t="s">
        <v>515</v>
      </c>
      <c r="D325" s="327" t="s">
        <v>455</v>
      </c>
      <c r="E325" s="328">
        <v>900000</v>
      </c>
    </row>
    <row r="326" spans="1:5" x14ac:dyDescent="0.25">
      <c r="A326" s="78"/>
      <c r="B326" s="327" t="s">
        <v>569</v>
      </c>
      <c r="C326" s="327" t="s">
        <v>517</v>
      </c>
      <c r="D326" s="327" t="s">
        <v>455</v>
      </c>
      <c r="E326" s="328">
        <v>1000000</v>
      </c>
    </row>
    <row r="327" spans="1:5" x14ac:dyDescent="0.25">
      <c r="A327" s="78"/>
      <c r="B327" s="327" t="s">
        <v>569</v>
      </c>
      <c r="C327" s="327" t="s">
        <v>518</v>
      </c>
      <c r="D327" s="327" t="s">
        <v>455</v>
      </c>
      <c r="E327" s="328">
        <v>360000</v>
      </c>
    </row>
    <row r="328" spans="1:5" x14ac:dyDescent="0.25">
      <c r="A328" s="78"/>
      <c r="B328" s="327" t="s">
        <v>564</v>
      </c>
      <c r="C328" s="327" t="s">
        <v>475</v>
      </c>
      <c r="D328" s="327" t="s">
        <v>562</v>
      </c>
      <c r="E328" s="328">
        <v>4500000</v>
      </c>
    </row>
    <row r="329" spans="1:5" x14ac:dyDescent="0.25">
      <c r="A329" s="78"/>
      <c r="B329" s="327" t="s">
        <v>563</v>
      </c>
      <c r="C329" s="327" t="s">
        <v>546</v>
      </c>
      <c r="D329" s="327" t="s">
        <v>562</v>
      </c>
      <c r="E329" s="328">
        <v>518400</v>
      </c>
    </row>
    <row r="330" spans="1:5" x14ac:dyDescent="0.25">
      <c r="A330" s="78"/>
      <c r="B330" s="327" t="s">
        <v>564</v>
      </c>
      <c r="C330" s="327" t="s">
        <v>546</v>
      </c>
      <c r="D330" s="327" t="s">
        <v>562</v>
      </c>
      <c r="E330" s="328">
        <v>1209600</v>
      </c>
    </row>
    <row r="331" spans="1:5" x14ac:dyDescent="0.25">
      <c r="A331" s="78"/>
      <c r="B331" s="327" t="s">
        <v>563</v>
      </c>
      <c r="C331" s="327" t="s">
        <v>547</v>
      </c>
      <c r="D331" s="327" t="s">
        <v>562</v>
      </c>
      <c r="E331" s="328">
        <v>1238400</v>
      </c>
    </row>
    <row r="332" spans="1:5" x14ac:dyDescent="0.25">
      <c r="A332" s="78"/>
      <c r="B332" s="327" t="s">
        <v>564</v>
      </c>
      <c r="C332" s="327" t="s">
        <v>547</v>
      </c>
      <c r="D332" s="327" t="s">
        <v>562</v>
      </c>
      <c r="E332" s="328">
        <v>2889600</v>
      </c>
    </row>
    <row r="333" spans="1:5" x14ac:dyDescent="0.25">
      <c r="A333" s="78"/>
      <c r="B333" s="327" t="s">
        <v>561</v>
      </c>
      <c r="C333" s="327" t="s">
        <v>519</v>
      </c>
      <c r="D333" s="327" t="s">
        <v>455</v>
      </c>
      <c r="E333" s="328">
        <v>22000</v>
      </c>
    </row>
    <row r="334" spans="1:5" x14ac:dyDescent="0.25">
      <c r="A334" s="78"/>
      <c r="B334" s="327" t="s">
        <v>561</v>
      </c>
      <c r="C334" s="327" t="s">
        <v>520</v>
      </c>
      <c r="D334" s="327" t="s">
        <v>455</v>
      </c>
      <c r="E334" s="328">
        <v>31500</v>
      </c>
    </row>
    <row r="335" spans="1:5" x14ac:dyDescent="0.25">
      <c r="A335" s="78"/>
      <c r="B335" s="329" t="s">
        <v>570</v>
      </c>
      <c r="C335" s="329" t="s">
        <v>42</v>
      </c>
      <c r="D335" s="329" t="s">
        <v>556</v>
      </c>
      <c r="E335" s="330">
        <v>28500</v>
      </c>
    </row>
    <row r="336" spans="1:5" x14ac:dyDescent="0.25">
      <c r="A336" s="78"/>
      <c r="B336" s="329" t="s">
        <v>570</v>
      </c>
      <c r="C336" s="329" t="s">
        <v>43</v>
      </c>
      <c r="D336" s="329" t="s">
        <v>556</v>
      </c>
      <c r="E336" s="330">
        <v>68500</v>
      </c>
    </row>
    <row r="337" spans="1:5" x14ac:dyDescent="0.25">
      <c r="A337" s="78"/>
      <c r="B337" s="329" t="s">
        <v>570</v>
      </c>
      <c r="C337" s="329" t="s">
        <v>217</v>
      </c>
      <c r="D337" s="329" t="s">
        <v>556</v>
      </c>
      <c r="E337" s="330">
        <v>57000</v>
      </c>
    </row>
    <row r="338" spans="1:5" x14ac:dyDescent="0.25">
      <c r="A338" s="78"/>
      <c r="B338" s="329" t="s">
        <v>570</v>
      </c>
      <c r="C338" s="329" t="s">
        <v>289</v>
      </c>
      <c r="D338" s="329" t="s">
        <v>556</v>
      </c>
      <c r="E338" s="330">
        <v>20100</v>
      </c>
    </row>
    <row r="339" spans="1:5" x14ac:dyDescent="0.25">
      <c r="A339" s="78"/>
      <c r="B339" s="329" t="s">
        <v>570</v>
      </c>
      <c r="C339" s="329" t="s">
        <v>47</v>
      </c>
      <c r="D339" s="329" t="s">
        <v>556</v>
      </c>
      <c r="E339" s="330">
        <v>5700000</v>
      </c>
    </row>
    <row r="340" spans="1:5" x14ac:dyDescent="0.25">
      <c r="A340" s="78"/>
      <c r="B340" s="329" t="s">
        <v>570</v>
      </c>
      <c r="C340" s="329" t="s">
        <v>48</v>
      </c>
      <c r="D340" s="329" t="s">
        <v>556</v>
      </c>
      <c r="E340" s="330">
        <v>8000000</v>
      </c>
    </row>
    <row r="341" spans="1:5" x14ac:dyDescent="0.25">
      <c r="A341" s="78"/>
      <c r="B341" s="329" t="s">
        <v>570</v>
      </c>
      <c r="C341" s="329" t="s">
        <v>49</v>
      </c>
      <c r="D341" s="329" t="s">
        <v>556</v>
      </c>
      <c r="E341" s="330">
        <v>2300000</v>
      </c>
    </row>
    <row r="342" spans="1:5" x14ac:dyDescent="0.25">
      <c r="A342" s="78"/>
      <c r="B342" s="329" t="s">
        <v>570</v>
      </c>
      <c r="C342" s="329" t="s">
        <v>46</v>
      </c>
      <c r="D342" s="329" t="s">
        <v>556</v>
      </c>
      <c r="E342" s="330">
        <v>2300000</v>
      </c>
    </row>
    <row r="343" spans="1:5" x14ac:dyDescent="0.25">
      <c r="A343" s="78"/>
      <c r="B343" s="329" t="s">
        <v>571</v>
      </c>
      <c r="C343" s="329" t="s">
        <v>469</v>
      </c>
      <c r="D343" s="329" t="s">
        <v>455</v>
      </c>
      <c r="E343" s="330">
        <v>5700000</v>
      </c>
    </row>
    <row r="344" spans="1:5" x14ac:dyDescent="0.25">
      <c r="A344" s="78"/>
      <c r="B344" s="329" t="s">
        <v>571</v>
      </c>
      <c r="C344" s="329" t="s">
        <v>523</v>
      </c>
      <c r="D344" s="329" t="s">
        <v>572</v>
      </c>
      <c r="E344" s="330">
        <v>17100000</v>
      </c>
    </row>
    <row r="345" spans="1:5" x14ac:dyDescent="0.25">
      <c r="A345" s="78"/>
      <c r="B345" s="329" t="s">
        <v>571</v>
      </c>
      <c r="C345" s="329" t="s">
        <v>525</v>
      </c>
      <c r="D345" s="329" t="s">
        <v>572</v>
      </c>
      <c r="E345" s="330">
        <v>11400000</v>
      </c>
    </row>
    <row r="346" spans="1:5" x14ac:dyDescent="0.25">
      <c r="A346" s="78"/>
      <c r="B346" s="329" t="s">
        <v>571</v>
      </c>
      <c r="C346" s="329" t="s">
        <v>454</v>
      </c>
      <c r="D346" s="329" t="s">
        <v>572</v>
      </c>
      <c r="E346" s="330">
        <v>5700000</v>
      </c>
    </row>
    <row r="347" spans="1:5" x14ac:dyDescent="0.25">
      <c r="A347" s="78"/>
      <c r="B347" s="329" t="s">
        <v>571</v>
      </c>
      <c r="C347" s="329" t="s">
        <v>459</v>
      </c>
      <c r="D347" s="329" t="s">
        <v>572</v>
      </c>
      <c r="E347" s="330">
        <v>2280000</v>
      </c>
    </row>
    <row r="348" spans="1:5" x14ac:dyDescent="0.25">
      <c r="A348" s="78"/>
      <c r="B348" s="329" t="s">
        <v>571</v>
      </c>
      <c r="C348" s="329" t="s">
        <v>502</v>
      </c>
      <c r="D348" s="329" t="s">
        <v>572</v>
      </c>
      <c r="E348" s="330">
        <v>2736000</v>
      </c>
    </row>
    <row r="349" spans="1:5" x14ac:dyDescent="0.25">
      <c r="A349" s="78"/>
      <c r="B349" s="329" t="s">
        <v>571</v>
      </c>
      <c r="C349" s="329" t="s">
        <v>461</v>
      </c>
      <c r="D349" s="329" t="s">
        <v>572</v>
      </c>
      <c r="E349" s="330">
        <v>5016000</v>
      </c>
    </row>
    <row r="350" spans="1:5" x14ac:dyDescent="0.25">
      <c r="A350" s="78"/>
      <c r="B350" s="329" t="s">
        <v>573</v>
      </c>
      <c r="C350" s="329" t="s">
        <v>530</v>
      </c>
      <c r="D350" s="329" t="s">
        <v>572</v>
      </c>
      <c r="E350" s="330">
        <v>894000</v>
      </c>
    </row>
    <row r="351" spans="1:5" x14ac:dyDescent="0.25">
      <c r="A351" s="78"/>
      <c r="B351" s="329" t="s">
        <v>574</v>
      </c>
      <c r="C351" s="329" t="s">
        <v>531</v>
      </c>
      <c r="D351" s="329" t="s">
        <v>572</v>
      </c>
      <c r="E351" s="330">
        <v>1639000</v>
      </c>
    </row>
    <row r="352" spans="1:5" x14ac:dyDescent="0.25">
      <c r="A352" s="78"/>
      <c r="B352" s="329" t="s">
        <v>575</v>
      </c>
      <c r="C352" s="329" t="s">
        <v>530</v>
      </c>
      <c r="D352" s="329" t="s">
        <v>455</v>
      </c>
      <c r="E352" s="330">
        <v>894000</v>
      </c>
    </row>
    <row r="353" spans="1:5" x14ac:dyDescent="0.25">
      <c r="A353" s="78"/>
      <c r="B353" s="329" t="s">
        <v>576</v>
      </c>
      <c r="C353" s="329" t="s">
        <v>531</v>
      </c>
      <c r="D353" s="329" t="s">
        <v>455</v>
      </c>
      <c r="E353" s="330">
        <v>1639000</v>
      </c>
    </row>
    <row r="354" spans="1:5" x14ac:dyDescent="0.25">
      <c r="A354" s="78"/>
      <c r="B354" s="329" t="s">
        <v>571</v>
      </c>
      <c r="C354" s="329" t="s">
        <v>462</v>
      </c>
      <c r="D354" s="329" t="s">
        <v>572</v>
      </c>
      <c r="E354" s="330">
        <v>3790000</v>
      </c>
    </row>
    <row r="355" spans="1:5" x14ac:dyDescent="0.25">
      <c r="A355" s="78"/>
      <c r="B355" s="329" t="s">
        <v>571</v>
      </c>
      <c r="C355" s="329" t="s">
        <v>462</v>
      </c>
      <c r="D355" s="329" t="s">
        <v>455</v>
      </c>
      <c r="E355" s="330">
        <v>3790000</v>
      </c>
    </row>
    <row r="356" spans="1:5" x14ac:dyDescent="0.25">
      <c r="A356" s="78"/>
      <c r="B356" s="329" t="s">
        <v>571</v>
      </c>
      <c r="C356" s="329" t="s">
        <v>532</v>
      </c>
      <c r="D356" s="329" t="s">
        <v>455</v>
      </c>
      <c r="E356" s="330">
        <v>1900000</v>
      </c>
    </row>
    <row r="357" spans="1:5" x14ac:dyDescent="0.25">
      <c r="A357" s="78"/>
      <c r="B357" s="329" t="s">
        <v>571</v>
      </c>
      <c r="C357" s="329" t="s">
        <v>533</v>
      </c>
      <c r="D357" s="329" t="s">
        <v>455</v>
      </c>
      <c r="E357" s="330">
        <v>1710000</v>
      </c>
    </row>
    <row r="358" spans="1:5" x14ac:dyDescent="0.25">
      <c r="A358" s="78"/>
      <c r="B358" s="329" t="s">
        <v>577</v>
      </c>
      <c r="C358" s="329" t="s">
        <v>465</v>
      </c>
      <c r="D358" s="329" t="s">
        <v>572</v>
      </c>
      <c r="E358" s="330">
        <v>1320000</v>
      </c>
    </row>
    <row r="359" spans="1:5" x14ac:dyDescent="0.25">
      <c r="A359" s="78"/>
      <c r="B359" s="329" t="s">
        <v>578</v>
      </c>
      <c r="C359" s="329" t="s">
        <v>465</v>
      </c>
      <c r="D359" s="329" t="s">
        <v>572</v>
      </c>
      <c r="E359" s="330">
        <v>3080000</v>
      </c>
    </row>
    <row r="360" spans="1:5" x14ac:dyDescent="0.25">
      <c r="A360" s="78"/>
      <c r="B360" s="329" t="s">
        <v>577</v>
      </c>
      <c r="C360" s="329" t="s">
        <v>465</v>
      </c>
      <c r="D360" s="329" t="s">
        <v>455</v>
      </c>
      <c r="E360" s="330">
        <v>1320000</v>
      </c>
    </row>
    <row r="361" spans="1:5" x14ac:dyDescent="0.25">
      <c r="A361" s="78"/>
      <c r="B361" s="329" t="s">
        <v>578</v>
      </c>
      <c r="C361" s="329" t="s">
        <v>465</v>
      </c>
      <c r="D361" s="329" t="s">
        <v>455</v>
      </c>
      <c r="E361" s="330">
        <v>3080000</v>
      </c>
    </row>
    <row r="362" spans="1:5" x14ac:dyDescent="0.25">
      <c r="A362" s="78"/>
      <c r="B362" s="329" t="s">
        <v>571</v>
      </c>
      <c r="C362" s="329" t="s">
        <v>467</v>
      </c>
      <c r="D362" s="329" t="s">
        <v>572</v>
      </c>
      <c r="E362" s="330">
        <v>4000000</v>
      </c>
    </row>
    <row r="363" spans="1:5" x14ac:dyDescent="0.25">
      <c r="A363" s="78"/>
      <c r="B363" s="329" t="s">
        <v>571</v>
      </c>
      <c r="C363" s="329" t="s">
        <v>467</v>
      </c>
      <c r="D363" s="329" t="s">
        <v>455</v>
      </c>
      <c r="E363" s="330">
        <v>4000000</v>
      </c>
    </row>
    <row r="364" spans="1:5" x14ac:dyDescent="0.25">
      <c r="A364" s="78"/>
      <c r="B364" s="329" t="s">
        <v>571</v>
      </c>
      <c r="C364" s="329" t="s">
        <v>471</v>
      </c>
      <c r="D364" s="329" t="s">
        <v>455</v>
      </c>
      <c r="E364" s="330">
        <v>5700000</v>
      </c>
    </row>
    <row r="365" spans="1:5" x14ac:dyDescent="0.25">
      <c r="A365" s="78"/>
      <c r="B365" s="329" t="s">
        <v>571</v>
      </c>
      <c r="C365" s="329" t="s">
        <v>541</v>
      </c>
      <c r="D365" s="329" t="s">
        <v>455</v>
      </c>
      <c r="E365" s="330">
        <v>2280000</v>
      </c>
    </row>
    <row r="366" spans="1:5" x14ac:dyDescent="0.25">
      <c r="A366" s="78"/>
      <c r="B366" s="329" t="s">
        <v>570</v>
      </c>
      <c r="C366" s="329" t="s">
        <v>510</v>
      </c>
      <c r="D366" s="329" t="s">
        <v>556</v>
      </c>
      <c r="E366" s="330">
        <v>6850000</v>
      </c>
    </row>
    <row r="367" spans="1:5" x14ac:dyDescent="0.25">
      <c r="A367" s="78"/>
      <c r="B367" s="329" t="s">
        <v>570</v>
      </c>
      <c r="C367" s="329" t="s">
        <v>473</v>
      </c>
      <c r="D367" s="329" t="s">
        <v>556</v>
      </c>
      <c r="E367" s="330">
        <v>1140000</v>
      </c>
    </row>
    <row r="368" spans="1:5" x14ac:dyDescent="0.25">
      <c r="A368" s="78"/>
      <c r="B368" s="329" t="s">
        <v>570</v>
      </c>
      <c r="C368" s="329" t="s">
        <v>474</v>
      </c>
      <c r="D368" s="329" t="s">
        <v>556</v>
      </c>
      <c r="E368" s="330">
        <v>1140000</v>
      </c>
    </row>
    <row r="369" spans="1:5" x14ac:dyDescent="0.25">
      <c r="A369" s="78"/>
      <c r="B369" s="329" t="s">
        <v>577</v>
      </c>
      <c r="C369" s="329" t="s">
        <v>475</v>
      </c>
      <c r="D369" s="329" t="s">
        <v>455</v>
      </c>
      <c r="E369" s="330">
        <v>15000000</v>
      </c>
    </row>
    <row r="370" spans="1:5" x14ac:dyDescent="0.25">
      <c r="A370" s="78"/>
      <c r="B370" s="329" t="s">
        <v>571</v>
      </c>
      <c r="C370" s="329" t="s">
        <v>476</v>
      </c>
      <c r="D370" s="329" t="s">
        <v>455</v>
      </c>
      <c r="E370" s="330">
        <v>5000000</v>
      </c>
    </row>
    <row r="371" spans="1:5" x14ac:dyDescent="0.25">
      <c r="A371" s="78"/>
      <c r="B371" s="329" t="s">
        <v>579</v>
      </c>
      <c r="C371" s="329" t="s">
        <v>26</v>
      </c>
      <c r="D371" s="329" t="s">
        <v>455</v>
      </c>
      <c r="E371" s="330">
        <v>4800000</v>
      </c>
    </row>
    <row r="372" spans="1:5" x14ac:dyDescent="0.25">
      <c r="A372" s="78"/>
      <c r="B372" s="329" t="s">
        <v>579</v>
      </c>
      <c r="C372" s="329" t="s">
        <v>481</v>
      </c>
      <c r="D372" s="329" t="s">
        <v>455</v>
      </c>
      <c r="E372" s="330">
        <v>6200000</v>
      </c>
    </row>
    <row r="373" spans="1:5" x14ac:dyDescent="0.25">
      <c r="A373" s="78"/>
      <c r="B373" s="329" t="s">
        <v>579</v>
      </c>
      <c r="C373" s="329" t="s">
        <v>457</v>
      </c>
      <c r="D373" s="329" t="s">
        <v>455</v>
      </c>
      <c r="E373" s="330">
        <v>9000000</v>
      </c>
    </row>
    <row r="374" spans="1:5" x14ac:dyDescent="0.25">
      <c r="A374" s="78"/>
      <c r="B374" s="329" t="s">
        <v>579</v>
      </c>
      <c r="C374" s="329" t="s">
        <v>51</v>
      </c>
      <c r="D374" s="329" t="s">
        <v>455</v>
      </c>
      <c r="E374" s="330">
        <v>6300000</v>
      </c>
    </row>
    <row r="375" spans="1:5" x14ac:dyDescent="0.25">
      <c r="A375" s="78"/>
      <c r="B375" s="329" t="s">
        <v>579</v>
      </c>
      <c r="C375" s="329" t="s">
        <v>482</v>
      </c>
      <c r="D375" s="329" t="s">
        <v>455</v>
      </c>
      <c r="E375" s="330">
        <v>11100000</v>
      </c>
    </row>
    <row r="376" spans="1:5" x14ac:dyDescent="0.25">
      <c r="A376" s="78"/>
      <c r="B376" s="329" t="s">
        <v>580</v>
      </c>
      <c r="C376" s="329" t="s">
        <v>26</v>
      </c>
      <c r="D376" s="329" t="s">
        <v>455</v>
      </c>
      <c r="E376" s="330">
        <v>3900000</v>
      </c>
    </row>
    <row r="377" spans="1:5" x14ac:dyDescent="0.25">
      <c r="A377" s="78"/>
      <c r="B377" s="329" t="s">
        <v>580</v>
      </c>
      <c r="C377" s="329" t="s">
        <v>481</v>
      </c>
      <c r="D377" s="329" t="s">
        <v>455</v>
      </c>
      <c r="E377" s="330">
        <v>1400000</v>
      </c>
    </row>
    <row r="378" spans="1:5" x14ac:dyDescent="0.25">
      <c r="A378" s="78"/>
      <c r="B378" s="329" t="s">
        <v>578</v>
      </c>
      <c r="C378" s="329" t="s">
        <v>457</v>
      </c>
      <c r="D378" s="329" t="s">
        <v>455</v>
      </c>
      <c r="E378" s="330">
        <v>15100000</v>
      </c>
    </row>
    <row r="379" spans="1:5" x14ac:dyDescent="0.25">
      <c r="A379" s="78"/>
      <c r="B379" s="329" t="s">
        <v>577</v>
      </c>
      <c r="C379" s="329" t="s">
        <v>484</v>
      </c>
      <c r="D379" s="329" t="s">
        <v>455</v>
      </c>
      <c r="E379" s="330">
        <v>11000000</v>
      </c>
    </row>
    <row r="380" spans="1:5" x14ac:dyDescent="0.25">
      <c r="A380" s="78"/>
      <c r="B380" s="329" t="s">
        <v>577</v>
      </c>
      <c r="C380" s="329" t="s">
        <v>485</v>
      </c>
      <c r="D380" s="329" t="s">
        <v>455</v>
      </c>
      <c r="E380" s="330">
        <v>3300000</v>
      </c>
    </row>
    <row r="381" spans="1:5" x14ac:dyDescent="0.25">
      <c r="A381" s="78"/>
      <c r="B381" s="329" t="s">
        <v>578</v>
      </c>
      <c r="C381" s="329" t="s">
        <v>475</v>
      </c>
      <c r="D381" s="329" t="s">
        <v>572</v>
      </c>
      <c r="E381" s="330">
        <v>12000000</v>
      </c>
    </row>
    <row r="382" spans="1:5" x14ac:dyDescent="0.25">
      <c r="A382" s="78"/>
      <c r="B382" s="329" t="s">
        <v>577</v>
      </c>
      <c r="C382" s="329" t="s">
        <v>546</v>
      </c>
      <c r="D382" s="329" t="s">
        <v>572</v>
      </c>
      <c r="E382" s="330">
        <v>1072800</v>
      </c>
    </row>
    <row r="383" spans="1:5" x14ac:dyDescent="0.25">
      <c r="A383" s="78"/>
      <c r="B383" s="329" t="s">
        <v>578</v>
      </c>
      <c r="C383" s="329" t="s">
        <v>546</v>
      </c>
      <c r="D383" s="329" t="s">
        <v>572</v>
      </c>
      <c r="E383" s="330">
        <v>2503200</v>
      </c>
    </row>
    <row r="384" spans="1:5" x14ac:dyDescent="0.25">
      <c r="A384" s="78"/>
      <c r="B384" s="329" t="s">
        <v>577</v>
      </c>
      <c r="C384" s="329" t="s">
        <v>547</v>
      </c>
      <c r="D384" s="329" t="s">
        <v>572</v>
      </c>
      <c r="E384" s="330">
        <v>2392800</v>
      </c>
    </row>
    <row r="385" spans="1:5" x14ac:dyDescent="0.25">
      <c r="A385" s="78"/>
      <c r="B385" s="329" t="s">
        <v>578</v>
      </c>
      <c r="C385" s="329" t="s">
        <v>547</v>
      </c>
      <c r="D385" s="329" t="s">
        <v>572</v>
      </c>
      <c r="E385" s="330">
        <v>5583200</v>
      </c>
    </row>
    <row r="386" spans="1:5" x14ac:dyDescent="0.25">
      <c r="A386" s="78"/>
      <c r="B386" s="329" t="s">
        <v>571</v>
      </c>
      <c r="C386" s="329" t="s">
        <v>519</v>
      </c>
      <c r="D386" s="329" t="s">
        <v>455</v>
      </c>
      <c r="E386" s="330">
        <v>22000</v>
      </c>
    </row>
    <row r="387" spans="1:5" x14ac:dyDescent="0.25">
      <c r="A387" s="78"/>
      <c r="B387" s="329" t="s">
        <v>571</v>
      </c>
      <c r="C387" s="329" t="s">
        <v>520</v>
      </c>
      <c r="D387" s="329" t="s">
        <v>455</v>
      </c>
      <c r="E387" s="330">
        <v>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Tarifas 2026</vt:lpstr>
      <vt:lpstr>Métricas</vt:lpstr>
      <vt:lpstr>Video Corto</vt:lpstr>
      <vt:lpstr>Video Programa (Secciones)</vt:lpstr>
      <vt:lpstr>Video Franquicia</vt:lpstr>
      <vt:lpstr>Video Remoto (Corto)</vt:lpstr>
      <vt:lpstr>Seccion Prime - BM - Spot</vt:lpstr>
      <vt:lpstr>Contenido Exclusivo</vt:lpstr>
      <vt:lpstr>Microprograma</vt:lpstr>
      <vt:lpstr>Video Cubrimiento</vt:lpstr>
      <vt:lpstr>Registro Fotográfico</vt:lpstr>
      <vt:lpstr>Radio Caracol</vt:lpstr>
      <vt:lpstr>Tarifas Miranda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Haykal Libbos</dc:creator>
  <cp:lastModifiedBy>ACER</cp:lastModifiedBy>
  <dcterms:created xsi:type="dcterms:W3CDTF">2022-06-16T15:53:00Z</dcterms:created>
  <dcterms:modified xsi:type="dcterms:W3CDTF">2026-08-27T20:03:30Z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cd9466-8d4e-4a56-b721-1076610ba137_Enabled">
    <vt:lpwstr>true</vt:lpwstr>
  </property>
  <property fmtid="{D5CDD505-2E9C-101B-9397-08002B2CF9AE}" pid="3" name="MSIP_Label_93cd9466-8d4e-4a56-b721-1076610ba137_SetDate">
    <vt:lpwstr>2024-05-27T22:13:07Z</vt:lpwstr>
  </property>
  <property fmtid="{D5CDD505-2E9C-101B-9397-08002B2CF9AE}" pid="4" name="MSIP_Label_93cd9466-8d4e-4a56-b721-1076610ba137_Method">
    <vt:lpwstr>Standard</vt:lpwstr>
  </property>
  <property fmtid="{D5CDD505-2E9C-101B-9397-08002B2CF9AE}" pid="5" name="MSIP_Label_93cd9466-8d4e-4a56-b721-1076610ba137_Name">
    <vt:lpwstr>General</vt:lpwstr>
  </property>
  <property fmtid="{D5CDD505-2E9C-101B-9397-08002B2CF9AE}" pid="6" name="MSIP_Label_93cd9466-8d4e-4a56-b721-1076610ba137_SiteId">
    <vt:lpwstr>c4fd49f3-e15a-44d8-82e2-c909735d2e45</vt:lpwstr>
  </property>
  <property fmtid="{D5CDD505-2E9C-101B-9397-08002B2CF9AE}" pid="7" name="MSIP_Label_93cd9466-8d4e-4a56-b721-1076610ba137_ActionId">
    <vt:lpwstr>689d054f-17dc-4fcc-9de0-54adce147eb2</vt:lpwstr>
  </property>
  <property fmtid="{D5CDD505-2E9C-101B-9397-08002B2CF9AE}" pid="8" name="MSIP_Label_93cd9466-8d4e-4a56-b721-1076610ba137_ContentBits">
    <vt:lpwstr>0</vt:lpwstr>
  </property>
</Properties>
</file>